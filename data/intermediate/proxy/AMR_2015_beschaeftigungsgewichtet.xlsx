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c359d9075a462e" /></Relationships>
</file>

<file path=xl/workbook.xml><?xml version="1.0" encoding="utf-8"?>
<x:workbook xmlns:x="http://schemas.openxmlformats.org/spreadsheetml/2006/main">
  <x:sheets>
    <x:sheet xmlns:r="http://schemas.openxmlformats.org/officeDocument/2006/relationships" name="AMR_2015" sheetId="1" r:id="R5925e18efba746b8"/>
    <x:sheet xmlns:r="http://schemas.openxmlformats.org/officeDocument/2006/relationships" name="Kreise_2015" sheetId="2" r:id="Rb402f1728db64321"/>
    <x:sheet xmlns:r="http://schemas.openxmlformats.org/officeDocument/2006/relationships" name="Methodik_Quellen" sheetId="3" r:id="Re122b5329edf4da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0.00"/>
    <x:numFmt numFmtId="203" formatCode="0.000000"/>
    <x:numFmt numFmtId="204" formatCode="0.00%"/>
  </x:numFmts>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29445D"/>
      </x:patternFill>
    </x:fill>
  </x:fills>
  <x:borders count="1">
    <x:border/>
  </x:borders>
  <x:cellStyleXfs count="1">
    <x:xf numFmtId="0" fontId="0" fillId="0" borderId="0"/>
  </x:cellStyleXfs>
  <x:cellXfs count="12">
    <x:xf numFmtId="0" fontId="0" fillId="0" borderId="0" xfId="0"/>
    <x:xf numFmtId="200" fontId="0" fillId="0" borderId="0" xfId="0" applyNumberFormat="1" applyFont="1" applyFill="1" applyBorder="1"/>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3" fontId="1" fillId="0" borderId="0" xfId="0" applyNumberFormat="1" applyFont="1" applyFill="1" applyBorder="1"/>
    <x:xf numFmtId="204" fontId="1"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51f53645784c9d" /><Relationship Type="http://schemas.openxmlformats.org/officeDocument/2006/relationships/theme" Target="/xl/theme/theme1.xml" Id="R59f6fdd0f0d74a98" /><Relationship Type="http://schemas.openxmlformats.org/officeDocument/2006/relationships/sharedStrings" Target="/xl/sharedStrings.xml" Id="Re3c62a2b6c9e446c" /><Relationship Type="http://schemas.openxmlformats.org/officeDocument/2006/relationships/worksheet" Target="/xl/worksheets/sheet1.xml" Id="R5925e18efba746b8" /><Relationship Type="http://schemas.openxmlformats.org/officeDocument/2006/relationships/worksheet" Target="/xl/worksheets/sheet2.xml" Id="Rb402f1728db64321" /><Relationship Type="http://schemas.openxmlformats.org/officeDocument/2006/relationships/worksheet" Target="/xl/worksheets/sheet3.xml" Id="Re122b5329edf4d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32" hidden="0" customWidth="1"/>
    <x:col min="3" max="3" width="23" hidden="0" customWidth="1"/>
    <x:col min="4" max="4" width="26" hidden="0" customWidth="1"/>
    <x:col min="5" max="5" width="32" hidden="0" customWidth="1"/>
    <x:col min="6" max="6" width="10" hidden="0" customWidth="1"/>
    <x:col min="7" max="7" width="26" hidden="0" customWidth="1"/>
  </x:cols>
  <x:sheetData>
    <x:row r="1" ht="50" customHeight="1">
      <x:c r="A1" s="5" t="str">
        <x:v>amr</x:v>
      </x:c>
      <x:c r="B1" s="5" t="str">
        <x:v>amr_name_bbsr</x:v>
      </x:c>
      <x:c r="C1" s="5" t="str">
        <x:v>anzahl_kreise_2015</x:v>
      </x:c>
      <x:c r="D1" s="5" t="str">
        <x:v>sv_vollzeit_arbeitsort</x:v>
      </x:c>
      <x:c r="E1" s="5" t="str">
        <x:v>gewichteter_kreismedian_eur</x:v>
      </x:c>
      <x:c r="F1" s="5" t="str">
        <x:v>jahr</x:v>
      </x:c>
      <x:c r="G1" s="5" t="str">
        <x:v>summe_kreisgewichte</x:v>
      </x:c>
    </x:row>
    <x:row r="2" ht="24" customHeight="1">
      <x:c r="A2" s="2" t="n">
        <x:v>1</x:v>
      </x:c>
      <x:c r="B2" s="2" t="str">
        <x:v>Husum</x:v>
      </x:c>
      <x:c r="C2" s="7" t="n">
        <x:f>COUNTIF('Kreise_2015'!$C$2:$C$403,A2)</x:f>
        <x:v>1</x:v>
      </x:c>
      <x:c r="D2" s="7" t="n">
        <x:f>SUMIF('Kreise_2015'!$C$2:$C$403,A2,'Kreise_2015'!$F$2:$F$403)</x:f>
        <x:v>38927</x:v>
      </x:c>
      <x:c r="E2" s="8" t="n">
        <x:f>SUMIF('Kreise_2015'!$C$2:$C$403,A2,'Kreise_2015'!$G$2:$G$403)/D2</x:f>
        <x:v>2668.251479289941</x:v>
      </x:c>
      <x:c r="F2" s="2" t="n">
        <x:v>2015</x:v>
      </x:c>
      <x:c r="G2" s="9" t="n">
        <x:f>SUMIF('Kreise_2015'!$C$2:$C$403,A2,'Kreise_2015'!$H$2:$H$403)</x:f>
        <x:v>1</x:v>
      </x:c>
    </x:row>
    <x:row r="3" ht="24" customHeight="1">
      <x:c r="A3" s="2" t="n">
        <x:v>2</x:v>
      </x:c>
      <x:c r="B3" s="2" t="str">
        <x:v>Heide</x:v>
      </x:c>
      <x:c r="C3" s="7" t="n">
        <x:f>COUNTIF('Kreise_2015'!$C$2:$C$403,A3)</x:f>
        <x:v>1</x:v>
      </x:c>
      <x:c r="D3" s="7" t="n">
        <x:f>SUMIF('Kreise_2015'!$C$2:$C$403,A3,'Kreise_2015'!$F$2:$F$403)</x:f>
        <x:v>27324</x:v>
      </x:c>
      <x:c r="E3" s="8" t="n">
        <x:f>SUMIF('Kreise_2015'!$C$2:$C$403,A3,'Kreise_2015'!$G$2:$G$403)/D3</x:f>
        <x:v>2767.8558897243106</x:v>
      </x:c>
      <x:c r="F3" s="2" t="n">
        <x:v>2015</x:v>
      </x:c>
      <x:c r="G3" s="9" t="n">
        <x:f>SUMIF('Kreise_2015'!$C$2:$C$403,A3,'Kreise_2015'!$H$2:$H$403)</x:f>
        <x:v>1</x:v>
      </x:c>
    </x:row>
    <x:row r="4" ht="24" customHeight="1">
      <x:c r="A4" s="2" t="n">
        <x:v>3</x:v>
      </x:c>
      <x:c r="B4" s="2" t="str">
        <x:v>Itzehoe</x:v>
      </x:c>
      <x:c r="C4" s="7" t="n">
        <x:f>COUNTIF('Kreise_2015'!$C$2:$C$403,A4)</x:f>
        <x:v>1</x:v>
      </x:c>
      <x:c r="D4" s="7" t="n">
        <x:f>SUMIF('Kreise_2015'!$C$2:$C$403,A4,'Kreise_2015'!$F$2:$F$403)</x:f>
        <x:v>25900</x:v>
      </x:c>
      <x:c r="E4" s="8" t="n">
        <x:f>SUMIF('Kreise_2015'!$C$2:$C$403,A4,'Kreise_2015'!$G$2:$G$403)/D4</x:f>
        <x:v>2873.5</x:v>
      </x:c>
      <x:c r="F4" s="2" t="n">
        <x:v>2015</x:v>
      </x:c>
      <x:c r="G4" s="9" t="n">
        <x:f>SUMIF('Kreise_2015'!$C$2:$C$403,A4,'Kreise_2015'!$H$2:$H$403)</x:f>
        <x:v>1</x:v>
      </x:c>
    </x:row>
    <x:row r="5" ht="24" customHeight="1">
      <x:c r="A5" s="2" t="n">
        <x:v>4</x:v>
      </x:c>
      <x:c r="B5" s="2" t="str">
        <x:v>Flensburg</x:v>
      </x:c>
      <x:c r="C5" s="7" t="n">
        <x:f>COUNTIF('Kreise_2015'!$C$2:$C$403,A5)</x:f>
        <x:v>2</x:v>
      </x:c>
      <x:c r="D5" s="7" t="n">
        <x:f>SUMIF('Kreise_2015'!$C$2:$C$403,A5,'Kreise_2015'!$F$2:$F$403)</x:f>
        <x:v>64217</x:v>
      </x:c>
      <x:c r="E5" s="8" t="n">
        <x:f>SUMIF('Kreise_2015'!$C$2:$C$403,A5,'Kreise_2015'!$G$2:$G$403)/D5</x:f>
        <x:v>2727.0721264937874</x:v>
      </x:c>
      <x:c r="F5" s="2" t="n">
        <x:v>2015</x:v>
      </x:c>
      <x:c r="G5" s="9" t="n">
        <x:f>SUMIF('Kreise_2015'!$C$2:$C$403,A5,'Kreise_2015'!$H$2:$H$403)</x:f>
        <x:v>1</x:v>
      </x:c>
    </x:row>
    <x:row r="6" ht="24" customHeight="1">
      <x:c r="A6" s="2" t="n">
        <x:v>5</x:v>
      </x:c>
      <x:c r="B6" s="2" t="str">
        <x:v>Lübeck</x:v>
      </x:c>
      <x:c r="C6" s="7" t="n">
        <x:f>COUNTIF('Kreise_2015'!$C$2:$C$403,A6)</x:f>
        <x:v>2</x:v>
      </x:c>
      <x:c r="D6" s="7" t="n">
        <x:f>SUMIF('Kreise_2015'!$C$2:$C$403,A6,'Kreise_2015'!$F$2:$F$403)</x:f>
        <x:v>100713</x:v>
      </x:c>
      <x:c r="E6" s="8" t="n">
        <x:f>SUMIF('Kreise_2015'!$C$2:$C$403,A6,'Kreise_2015'!$G$2:$G$403)/D6</x:f>
        <x:v>2778.2795596543874</x:v>
      </x:c>
      <x:c r="F6" s="2" t="n">
        <x:v>2015</x:v>
      </x:c>
      <x:c r="G6" s="9" t="n">
        <x:f>SUMIF('Kreise_2015'!$C$2:$C$403,A6,'Kreise_2015'!$H$2:$H$403)</x:f>
        <x:v>1</x:v>
      </x:c>
    </x:row>
    <x:row r="7" ht="24" customHeight="1">
      <x:c r="A7" s="2" t="n">
        <x:v>6</x:v>
      </x:c>
      <x:c r="B7" s="2" t="str">
        <x:v>Kiel</x:v>
      </x:c>
      <x:c r="C7" s="7" t="n">
        <x:f>COUNTIF('Kreise_2015'!$C$2:$C$403,A7)</x:f>
        <x:v>4</x:v>
      </x:c>
      <x:c r="D7" s="7" t="n">
        <x:f>SUMIF('Kreise_2015'!$C$2:$C$403,A7,'Kreise_2015'!$F$2:$F$403)</x:f>
        <x:v>175121</x:v>
      </x:c>
      <x:c r="E7" s="8" t="n">
        <x:f>SUMIF('Kreise_2015'!$C$2:$C$403,A7,'Kreise_2015'!$G$2:$G$403)/D7</x:f>
        <x:v>2959.756273941587</x:v>
      </x:c>
      <x:c r="F7" s="2" t="n">
        <x:v>2015</x:v>
      </x:c>
      <x:c r="G7" s="9" t="n">
        <x:f>SUMIF('Kreise_2015'!$C$2:$C$403,A7,'Kreise_2015'!$H$2:$H$403)</x:f>
        <x:v>1</x:v>
      </x:c>
    </x:row>
    <x:row r="8" ht="24" customHeight="1">
      <x:c r="A8" s="2" t="n">
        <x:v>7</x:v>
      </x:c>
      <x:c r="B8" s="2" t="str">
        <x:v>Ratzeburg</x:v>
      </x:c>
      <x:c r="C8" s="7" t="n">
        <x:f>COUNTIF('Kreise_2015'!$C$2:$C$403,A8)</x:f>
        <x:v>1</x:v>
      </x:c>
      <x:c r="D8" s="7" t="n">
        <x:f>SUMIF('Kreise_2015'!$C$2:$C$403,A8,'Kreise_2015'!$F$2:$F$403)</x:f>
        <x:v>31191</x:v>
      </x:c>
      <x:c r="E8" s="8" t="n">
        <x:f>SUMIF('Kreise_2015'!$C$2:$C$403,A8,'Kreise_2015'!$G$2:$G$403)/D8</x:f>
        <x:v>2718.4920477137175</x:v>
      </x:c>
      <x:c r="F8" s="2" t="n">
        <x:v>2015</x:v>
      </x:c>
      <x:c r="G8" s="9" t="n">
        <x:f>SUMIF('Kreise_2015'!$C$2:$C$403,A8,'Kreise_2015'!$H$2:$H$403)</x:f>
        <x:v>1</x:v>
      </x:c>
    </x:row>
    <x:row r="9" ht="24" customHeight="1">
      <x:c r="A9" s="2" t="n">
        <x:v>8</x:v>
      </x:c>
      <x:c r="B9" s="2" t="str">
        <x:v>Hamburg</x:v>
      </x:c>
      <x:c r="C9" s="7" t="n">
        <x:f>COUNTIF('Kreise_2015'!$C$2:$C$403,A9)</x:f>
        <x:v>5</x:v>
      </x:c>
      <x:c r="D9" s="7" t="n">
        <x:f>SUMIF('Kreise_2015'!$C$2:$C$403,A9,'Kreise_2015'!$F$2:$F$403)</x:f>
        <x:v>906405</x:v>
      </x:c>
      <x:c r="E9" s="8" t="n">
        <x:f>SUMIF('Kreise_2015'!$C$2:$C$403,A9,'Kreise_2015'!$G$2:$G$403)/D9</x:f>
        <x:v>3333.7130086042393</x:v>
      </x:c>
      <x:c r="F9" s="2" t="n">
        <x:v>2015</x:v>
      </x:c>
      <x:c r="G9" s="9" t="n">
        <x:f>SUMIF('Kreise_2015'!$C$2:$C$403,A9,'Kreise_2015'!$H$2:$H$403)</x:f>
        <x:v>1</x:v>
      </x:c>
    </x:row>
    <x:row r="10" ht="24" customHeight="1">
      <x:c r="A10" s="2" t="n">
        <x:v>9</x:v>
      </x:c>
      <x:c r="B10" s="2" t="str">
        <x:v>Braunschweig</x:v>
      </x:c>
      <x:c r="C10" s="7" t="n">
        <x:f>COUNTIF('Kreise_2015'!$C$2:$C$403,A10)</x:f>
        <x:v>3</x:v>
      </x:c>
      <x:c r="D10" s="7" t="n">
        <x:f>SUMIF('Kreise_2015'!$C$2:$C$403,A10,'Kreise_2015'!$F$2:$F$403)</x:f>
        <x:v>126900</x:v>
      </x:c>
      <x:c r="E10" s="8" t="n">
        <x:f>SUMIF('Kreise_2015'!$C$2:$C$403,A10,'Kreise_2015'!$G$2:$G$403)/D10</x:f>
        <x:v>3173.2561905266475</x:v>
      </x:c>
      <x:c r="F10" s="2" t="n">
        <x:v>2015</x:v>
      </x:c>
      <x:c r="G10" s="9" t="n">
        <x:f>SUMIF('Kreise_2015'!$C$2:$C$403,A10,'Kreise_2015'!$H$2:$H$403)</x:f>
        <x:v>1</x:v>
      </x:c>
    </x:row>
    <x:row r="11" ht="24" customHeight="1">
      <x:c r="A11" s="2" t="n">
        <x:v>10</x:v>
      </x:c>
      <x:c r="B11" s="2" t="str">
        <x:v>Salzgitter</x:v>
      </x:c>
      <x:c r="C11" s="7" t="n">
        <x:f>COUNTIF('Kreise_2015'!$C$2:$C$403,A11)</x:f>
        <x:v>1</x:v>
      </x:c>
      <x:c r="D11" s="7" t="n">
        <x:f>SUMIF('Kreise_2015'!$C$2:$C$403,A11,'Kreise_2015'!$F$2:$F$403)</x:f>
        <x:v>38629</x:v>
      </x:c>
      <x:c r="E11" s="8" t="n">
        <x:f>SUMIF('Kreise_2015'!$C$2:$C$403,A11,'Kreise_2015'!$G$2:$G$403)/D11</x:f>
        <x:v>3905.3660714285716</x:v>
      </x:c>
      <x:c r="F11" s="2" t="n">
        <x:v>2015</x:v>
      </x:c>
      <x:c r="G11" s="9" t="n">
        <x:f>SUMIF('Kreise_2015'!$C$2:$C$403,A11,'Kreise_2015'!$H$2:$H$403)</x:f>
        <x:v>1</x:v>
      </x:c>
    </x:row>
    <x:row r="12" ht="24" customHeight="1">
      <x:c r="A12" s="2" t="n">
        <x:v>11</x:v>
      </x:c>
      <x:c r="B12" s="2" t="str">
        <x:v>Wolfsburg</x:v>
      </x:c>
      <x:c r="C12" s="7" t="n">
        <x:f>COUNTIF('Kreise_2015'!$C$2:$C$403,A12)</x:f>
        <x:v>2</x:v>
      </x:c>
      <x:c r="D12" s="7" t="n">
        <x:f>SUMIF('Kreise_2015'!$C$2:$C$403,A12,'Kreise_2015'!$F$2:$F$403)</x:f>
        <x:v>132798</x:v>
      </x:c>
      <x:c r="E12" s="8" t="n">
        <x:f>SUMIF('Kreise_2015'!$C$2:$C$403,A12,'Kreise_2015'!$G$2:$G$403)/D12</x:f>
        <x:v>4251.230041578152</x:v>
      </x:c>
      <x:c r="F12" s="2" t="n">
        <x:v>2015</x:v>
      </x:c>
      <x:c r="G12" s="9" t="n">
        <x:f>SUMIF('Kreise_2015'!$C$2:$C$403,A12,'Kreise_2015'!$H$2:$H$403)</x:f>
        <x:v>1</x:v>
      </x:c>
    </x:row>
    <x:row r="13" ht="24" customHeight="1">
      <x:c r="A13" s="2" t="n">
        <x:v>12</x:v>
      </x:c>
      <x:c r="B13" s="2" t="str">
        <x:v>Göttingen/Osterode</x:v>
      </x:c>
      <x:c r="C13" s="7" t="n">
        <x:f>COUNTIF('Kreise_2015'!$C$2:$C$403,A13)</x:f>
        <x:v>2</x:v>
      </x:c>
      <x:c r="D13" s="7" t="n">
        <x:f>SUMIF('Kreise_2015'!$C$2:$C$403,A13,'Kreise_2015'!$F$2:$F$403)</x:f>
        <x:v>85719</x:v>
      </x:c>
      <x:c r="E13" s="8" t="n">
        <x:f>SUMIF('Kreise_2015'!$C$2:$C$403,A13,'Kreise_2015'!$G$2:$G$403)/D13</x:f>
        <x:v>2985.967238793357</x:v>
      </x:c>
      <x:c r="F13" s="2" t="n">
        <x:v>2015</x:v>
      </x:c>
      <x:c r="G13" s="9" t="n">
        <x:f>SUMIF('Kreise_2015'!$C$2:$C$403,A13,'Kreise_2015'!$H$2:$H$403)</x:f>
        <x:v>1</x:v>
      </x:c>
    </x:row>
    <x:row r="14" ht="24" customHeight="1">
      <x:c r="A14" s="2" t="n">
        <x:v>13</x:v>
      </x:c>
      <x:c r="B14" s="2" t="str">
        <x:v>Goslar</x:v>
      </x:c>
      <x:c r="C14" s="7" t="n">
        <x:f>COUNTIF('Kreise_2015'!$C$2:$C$403,A14)</x:f>
        <x:v>1</x:v>
      </x:c>
      <x:c r="D14" s="7" t="n">
        <x:f>SUMIF('Kreise_2015'!$C$2:$C$403,A14,'Kreise_2015'!$F$2:$F$403)</x:f>
        <x:v>30223</x:v>
      </x:c>
      <x:c r="E14" s="8" t="n">
        <x:f>SUMIF('Kreise_2015'!$C$2:$C$403,A14,'Kreise_2015'!$G$2:$G$403)/D14</x:f>
        <x:v>2753.4605263157896</x:v>
      </x:c>
      <x:c r="F14" s="2" t="n">
        <x:v>2015</x:v>
      </x:c>
      <x:c r="G14" s="9" t="n">
        <x:f>SUMIF('Kreise_2015'!$C$2:$C$403,A14,'Kreise_2015'!$H$2:$H$403)</x:f>
        <x:v>1</x:v>
      </x:c>
    </x:row>
    <x:row r="15" ht="24" customHeight="1">
      <x:c r="A15" s="2" t="n">
        <x:v>14</x:v>
      </x:c>
      <x:c r="B15" s="2" t="str">
        <x:v>Helmstedt</x:v>
      </x:c>
      <x:c r="C15" s="7" t="n">
        <x:f>COUNTIF('Kreise_2015'!$C$2:$C$403,A15)</x:f>
        <x:v>1</x:v>
      </x:c>
      <x:c r="D15" s="7" t="n">
        <x:f>SUMIF('Kreise_2015'!$C$2:$C$403,A15,'Kreise_2015'!$F$2:$F$403)</x:f>
        <x:v>14721</x:v>
      </x:c>
      <x:c r="E15" s="8" t="n">
        <x:f>SUMIF('Kreise_2015'!$C$2:$C$403,A15,'Kreise_2015'!$G$2:$G$403)/D15</x:f>
        <x:v>2598.7291666666665</x:v>
      </x:c>
      <x:c r="F15" s="2" t="n">
        <x:v>2015</x:v>
      </x:c>
      <x:c r="G15" s="9" t="n">
        <x:f>SUMIF('Kreise_2015'!$C$2:$C$403,A15,'Kreise_2015'!$H$2:$H$403)</x:f>
        <x:v>1</x:v>
      </x:c>
    </x:row>
    <x:row r="16" ht="24" customHeight="1">
      <x:c r="A16" s="2" t="n">
        <x:v>15</x:v>
      </x:c>
      <x:c r="B16" s="2" t="str">
        <x:v>Einbeck</x:v>
      </x:c>
      <x:c r="C16" s="7" t="n">
        <x:f>COUNTIF('Kreise_2015'!$C$2:$C$403,A16)</x:f>
        <x:v>1</x:v>
      </x:c>
      <x:c r="D16" s="7" t="n">
        <x:f>SUMIF('Kreise_2015'!$C$2:$C$403,A16,'Kreise_2015'!$F$2:$F$403)</x:f>
        <x:v>30604</x:v>
      </x:c>
      <x:c r="E16" s="8" t="n">
        <x:f>SUMIF('Kreise_2015'!$C$2:$C$403,A16,'Kreise_2015'!$G$2:$G$403)/D16</x:f>
        <x:v>2819.40625</x:v>
      </x:c>
      <x:c r="F16" s="2" t="n">
        <x:v>2015</x:v>
      </x:c>
      <x:c r="G16" s="9" t="n">
        <x:f>SUMIF('Kreise_2015'!$C$2:$C$403,A16,'Kreise_2015'!$H$2:$H$403)</x:f>
        <x:v>1</x:v>
      </x:c>
    </x:row>
    <x:row r="17" ht="24" customHeight="1">
      <x:c r="A17" s="2" t="n">
        <x:v>17</x:v>
      </x:c>
      <x:c r="B17" s="2" t="str">
        <x:v>Hannover</x:v>
      </x:c>
      <x:c r="C17" s="7" t="n">
        <x:f>COUNTIF('Kreise_2015'!$C$2:$C$403,A17)</x:f>
        <x:v>1</x:v>
      </x:c>
      <x:c r="D17" s="7" t="n">
        <x:f>SUMIF('Kreise_2015'!$C$2:$C$403,A17,'Kreise_2015'!$F$2:$F$403)</x:f>
        <x:v>353788</x:v>
      </x:c>
      <x:c r="E17" s="8" t="n">
        <x:f>SUMIF('Kreise_2015'!$C$2:$C$403,A17,'Kreise_2015'!$G$2:$G$403)/D17</x:f>
        <x:v>3252.5064833445117</x:v>
      </x:c>
      <x:c r="F17" s="2" t="n">
        <x:v>2015</x:v>
      </x:c>
      <x:c r="G17" s="9" t="n">
        <x:f>SUMIF('Kreise_2015'!$C$2:$C$403,A17,'Kreise_2015'!$H$2:$H$403)</x:f>
        <x:v>1</x:v>
      </x:c>
    </x:row>
    <x:row r="18" ht="24" customHeight="1">
      <x:c r="A18" s="2" t="n">
        <x:v>18</x:v>
      </x:c>
      <x:c r="B18" s="2" t="str">
        <x:v>Sulingen</x:v>
      </x:c>
      <x:c r="C18" s="7" t="n">
        <x:f>COUNTIF('Kreise_2015'!$C$2:$C$403,A18)</x:f>
        <x:v>1</x:v>
      </x:c>
      <x:c r="D18" s="7" t="n">
        <x:f>SUMIF('Kreise_2015'!$C$2:$C$403,A18,'Kreise_2015'!$F$2:$F$403)</x:f>
        <x:v>46838</x:v>
      </x:c>
      <x:c r="E18" s="8" t="n">
        <x:f>SUMIF('Kreise_2015'!$C$2:$C$403,A18,'Kreise_2015'!$G$2:$G$403)/D18</x:f>
        <x:v>2720.9683698296835</x:v>
      </x:c>
      <x:c r="F18" s="2" t="n">
        <x:v>2015</x:v>
      </x:c>
      <x:c r="G18" s="9" t="n">
        <x:f>SUMIF('Kreise_2015'!$C$2:$C$403,A18,'Kreise_2015'!$H$2:$H$403)</x:f>
        <x:v>1</x:v>
      </x:c>
    </x:row>
    <x:row r="19" ht="24" customHeight="1">
      <x:c r="A19" s="2" t="n">
        <x:v>19</x:v>
      </x:c>
      <x:c r="B19" s="2" t="str">
        <x:v>Hameln</x:v>
      </x:c>
      <x:c r="C19" s="7" t="n">
        <x:f>COUNTIF('Kreise_2015'!$C$2:$C$403,A19)</x:f>
        <x:v>1</x:v>
      </x:c>
      <x:c r="D19" s="7" t="n">
        <x:f>SUMIF('Kreise_2015'!$C$2:$C$403,A19,'Kreise_2015'!$F$2:$F$403)</x:f>
        <x:v>34764</x:v>
      </x:c>
      <x:c r="E19" s="8" t="n">
        <x:f>SUMIF('Kreise_2015'!$C$2:$C$403,A19,'Kreise_2015'!$G$2:$G$403)/D19</x:f>
        <x:v>3025.597087378641</x:v>
      </x:c>
      <x:c r="F19" s="2" t="n">
        <x:v>2015</x:v>
      </x:c>
      <x:c r="G19" s="9" t="n">
        <x:f>SUMIF('Kreise_2015'!$C$2:$C$403,A19,'Kreise_2015'!$H$2:$H$403)</x:f>
        <x:v>1</x:v>
      </x:c>
    </x:row>
    <x:row r="20" ht="24" customHeight="1">
      <x:c r="A20" s="2" t="n">
        <x:v>20</x:v>
      </x:c>
      <x:c r="B20" s="2" t="str">
        <x:v>Hildesheim</x:v>
      </x:c>
      <x:c r="C20" s="7" t="n">
        <x:f>COUNTIF('Kreise_2015'!$C$2:$C$403,A20)</x:f>
        <x:v>1</x:v>
      </x:c>
      <x:c r="D20" s="7" t="n">
        <x:f>SUMIF('Kreise_2015'!$C$2:$C$403,A20,'Kreise_2015'!$F$2:$F$403)</x:f>
        <x:v>61809</x:v>
      </x:c>
      <x:c r="E20" s="8" t="n">
        <x:f>SUMIF('Kreise_2015'!$C$2:$C$403,A20,'Kreise_2015'!$G$2:$G$403)/D20</x:f>
        <x:v>2945.417257683215</x:v>
      </x:c>
      <x:c r="F20" s="2" t="n">
        <x:v>2015</x:v>
      </x:c>
      <x:c r="G20" s="9" t="n">
        <x:f>SUMIF('Kreise_2015'!$C$2:$C$403,A20,'Kreise_2015'!$H$2:$H$403)</x:f>
        <x:v>1</x:v>
      </x:c>
    </x:row>
    <x:row r="21" ht="24" customHeight="1">
      <x:c r="A21" s="2" t="n">
        <x:v>21</x:v>
      </x:c>
      <x:c r="B21" s="2" t="str">
        <x:v>Holzminden</x:v>
      </x:c>
      <x:c r="C21" s="7" t="n">
        <x:f>COUNTIF('Kreise_2015'!$C$2:$C$403,A21)</x:f>
        <x:v>1</x:v>
      </x:c>
      <x:c r="D21" s="7" t="n">
        <x:f>SUMIF('Kreise_2015'!$C$2:$C$403,A21,'Kreise_2015'!$F$2:$F$403)</x:f>
        <x:v>15316</x:v>
      </x:c>
      <x:c r="E21" s="8" t="n">
        <x:f>SUMIF('Kreise_2015'!$C$2:$C$403,A21,'Kreise_2015'!$G$2:$G$403)/D21</x:f>
        <x:v>2996.6743772241994</x:v>
      </x:c>
      <x:c r="F21" s="2" t="n">
        <x:v>2015</x:v>
      </x:c>
      <x:c r="G21" s="9" t="n">
        <x:f>SUMIF('Kreise_2015'!$C$2:$C$403,A21,'Kreise_2015'!$H$2:$H$403)</x:f>
        <x:v>1</x:v>
      </x:c>
    </x:row>
    <x:row r="22" ht="24" customHeight="1">
      <x:c r="A22" s="2" t="n">
        <x:v>22</x:v>
      </x:c>
      <x:c r="B22" s="2" t="str">
        <x:v>Nienburg</x:v>
      </x:c>
      <x:c r="C22" s="7" t="n">
        <x:f>COUNTIF('Kreise_2015'!$C$2:$C$403,A22)</x:f>
        <x:v>1</x:v>
      </x:c>
      <x:c r="D22" s="7" t="n">
        <x:f>SUMIF('Kreise_2015'!$C$2:$C$403,A22,'Kreise_2015'!$F$2:$F$403)</x:f>
        <x:v>26650</x:v>
      </x:c>
      <x:c r="E22" s="8" t="n">
        <x:f>SUMIF('Kreise_2015'!$C$2:$C$403,A22,'Kreise_2015'!$G$2:$G$403)/D22</x:f>
        <x:v>2738.62375249501</x:v>
      </x:c>
      <x:c r="F22" s="2" t="n">
        <x:v>2015</x:v>
      </x:c>
      <x:c r="G22" s="9" t="n">
        <x:f>SUMIF('Kreise_2015'!$C$2:$C$403,A22,'Kreise_2015'!$H$2:$H$403)</x:f>
        <x:v>1</x:v>
      </x:c>
    </x:row>
    <x:row r="23" ht="24" customHeight="1">
      <x:c r="A23" s="2" t="n">
        <x:v>23</x:v>
      </x:c>
      <x:c r="B23" s="2" t="str">
        <x:v>Stadthagen</x:v>
      </x:c>
      <x:c r="C23" s="7" t="n">
        <x:f>COUNTIF('Kreise_2015'!$C$2:$C$403,A23)</x:f>
        <x:v>1</x:v>
      </x:c>
      <x:c r="D23" s="7" t="n">
        <x:f>SUMIF('Kreise_2015'!$C$2:$C$403,A23,'Kreise_2015'!$F$2:$F$403)</x:f>
        <x:v>29774</x:v>
      </x:c>
      <x:c r="E23" s="8" t="n">
        <x:f>SUMIF('Kreise_2015'!$C$2:$C$403,A23,'Kreise_2015'!$G$2:$G$403)/D23</x:f>
        <x:v>2792.6171171171172</x:v>
      </x:c>
      <x:c r="F23" s="2" t="n">
        <x:v>2015</x:v>
      </x:c>
      <x:c r="G23" s="9" t="n">
        <x:f>SUMIF('Kreise_2015'!$C$2:$C$403,A23,'Kreise_2015'!$H$2:$H$403)</x:f>
        <x:v>1</x:v>
      </x:c>
    </x:row>
    <x:row r="24" ht="24" customHeight="1">
      <x:c r="A24" s="2" t="n">
        <x:v>24</x:v>
      </x:c>
      <x:c r="B24" s="2" t="str">
        <x:v>Celle</x:v>
      </x:c>
      <x:c r="C24" s="7" t="n">
        <x:f>COUNTIF('Kreise_2015'!$C$2:$C$403,A24)</x:f>
        <x:v>1</x:v>
      </x:c>
      <x:c r="D24" s="7" t="n">
        <x:f>SUMIF('Kreise_2015'!$C$2:$C$403,A24,'Kreise_2015'!$F$2:$F$403)</x:f>
        <x:v>39589</x:v>
      </x:c>
      <x:c r="E24" s="8" t="n">
        <x:f>SUMIF('Kreise_2015'!$C$2:$C$403,A24,'Kreise_2015'!$G$2:$G$403)/D24</x:f>
        <x:v>3027.3203883495144</x:v>
      </x:c>
      <x:c r="F24" s="2" t="n">
        <x:v>2015</x:v>
      </x:c>
      <x:c r="G24" s="9" t="n">
        <x:f>SUMIF('Kreise_2015'!$C$2:$C$403,A24,'Kreise_2015'!$H$2:$H$403)</x:f>
        <x:v>1</x:v>
      </x:c>
    </x:row>
    <x:row r="25" ht="24" customHeight="1">
      <x:c r="A25" s="2" t="n">
        <x:v>25</x:v>
      </x:c>
      <x:c r="B25" s="2" t="str">
        <x:v>Lüneburg</x:v>
      </x:c>
      <x:c r="C25" s="7" t="n">
        <x:f>COUNTIF('Kreise_2015'!$C$2:$C$403,A25)</x:f>
        <x:v>1</x:v>
      </x:c>
      <x:c r="D25" s="7" t="n">
        <x:f>SUMIF('Kreise_2015'!$C$2:$C$403,A25,'Kreise_2015'!$F$2:$F$403)</x:f>
        <x:v>37058</x:v>
      </x:c>
      <x:c r="E25" s="8" t="n">
        <x:f>SUMIF('Kreise_2015'!$C$2:$C$403,A25,'Kreise_2015'!$G$2:$G$403)/D25</x:f>
        <x:v>2760.387737478411</x:v>
      </x:c>
      <x:c r="F25" s="2" t="n">
        <x:v>2015</x:v>
      </x:c>
      <x:c r="G25" s="9" t="n">
        <x:f>SUMIF('Kreise_2015'!$C$2:$C$403,A25,'Kreise_2015'!$H$2:$H$403)</x:f>
        <x:v>1</x:v>
      </x:c>
    </x:row>
    <x:row r="26" ht="24" customHeight="1">
      <x:c r="A26" s="2" t="n">
        <x:v>26</x:v>
      </x:c>
      <x:c r="B26" s="2" t="str">
        <x:v>Zeven</x:v>
      </x:c>
      <x:c r="C26" s="7" t="n">
        <x:f>COUNTIF('Kreise_2015'!$C$2:$C$403,A26)</x:f>
        <x:v>1</x:v>
      </x:c>
      <x:c r="D26" s="7" t="n">
        <x:f>SUMIF('Kreise_2015'!$C$2:$C$403,A26,'Kreise_2015'!$F$2:$F$403)</x:f>
        <x:v>38068</x:v>
      </x:c>
      <x:c r="E26" s="8" t="n">
        <x:f>SUMIF('Kreise_2015'!$C$2:$C$403,A26,'Kreise_2015'!$G$2:$G$403)/D26</x:f>
        <x:v>2728.3195488721803</x:v>
      </x:c>
      <x:c r="F26" s="2" t="n">
        <x:v>2015</x:v>
      </x:c>
      <x:c r="G26" s="9" t="n">
        <x:f>SUMIF('Kreise_2015'!$C$2:$C$403,A26,'Kreise_2015'!$H$2:$H$403)</x:f>
        <x:v>1</x:v>
      </x:c>
    </x:row>
    <x:row r="27" ht="24" customHeight="1">
      <x:c r="A27" s="2" t="n">
        <x:v>27</x:v>
      </x:c>
      <x:c r="B27" s="2" t="str">
        <x:v>Soltau</x:v>
      </x:c>
      <x:c r="C27" s="7" t="n">
        <x:f>COUNTIF('Kreise_2015'!$C$2:$C$403,A27)</x:f>
        <x:v>1</x:v>
      </x:c>
      <x:c r="D27" s="7" t="n">
        <x:f>SUMIF('Kreise_2015'!$C$2:$C$403,A27,'Kreise_2015'!$F$2:$F$403)</x:f>
        <x:v>30956</x:v>
      </x:c>
      <x:c r="E27" s="8" t="n">
        <x:f>SUMIF('Kreise_2015'!$C$2:$C$403,A27,'Kreise_2015'!$G$2:$G$403)/D27</x:f>
        <x:v>2793.3107606679037</x:v>
      </x:c>
      <x:c r="F27" s="2" t="n">
        <x:v>2015</x:v>
      </x:c>
      <x:c r="G27" s="9" t="n">
        <x:f>SUMIF('Kreise_2015'!$C$2:$C$403,A27,'Kreise_2015'!$H$2:$H$403)</x:f>
        <x:v>1</x:v>
      </x:c>
    </x:row>
    <x:row r="28" ht="24" customHeight="1">
      <x:c r="A28" s="2" t="n">
        <x:v>28</x:v>
      </x:c>
      <x:c r="B28" s="2" t="str">
        <x:v>Stade</x:v>
      </x:c>
      <x:c r="C28" s="7" t="n">
        <x:f>COUNTIF('Kreise_2015'!$C$2:$C$403,A28)</x:f>
        <x:v>1</x:v>
      </x:c>
      <x:c r="D28" s="7" t="n">
        <x:f>SUMIF('Kreise_2015'!$C$2:$C$403,A28,'Kreise_2015'!$F$2:$F$403)</x:f>
        <x:v>42130</x:v>
      </x:c>
      <x:c r="E28" s="8" t="n">
        <x:f>SUMIF('Kreise_2015'!$C$2:$C$403,A28,'Kreise_2015'!$G$2:$G$403)/D28</x:f>
        <x:v>2987.21357615894</x:v>
      </x:c>
      <x:c r="F28" s="2" t="n">
        <x:v>2015</x:v>
      </x:c>
      <x:c r="G28" s="9" t="n">
        <x:f>SUMIF('Kreise_2015'!$C$2:$C$403,A28,'Kreise_2015'!$H$2:$H$403)</x:f>
        <x:v>1</x:v>
      </x:c>
    </x:row>
    <x:row r="29" ht="24" customHeight="1">
      <x:c r="A29" s="2" t="n">
        <x:v>29</x:v>
      </x:c>
      <x:c r="B29" s="2" t="str">
        <x:v>Uelzen</x:v>
      </x:c>
      <x:c r="C29" s="7" t="n">
        <x:f>COUNTIF('Kreise_2015'!$C$2:$C$403,A29)</x:f>
        <x:v>2</x:v>
      </x:c>
      <x:c r="D29" s="7" t="n">
        <x:f>SUMIF('Kreise_2015'!$C$2:$C$403,A29,'Kreise_2015'!$F$2:$F$403)</x:f>
        <x:v>28228</x:v>
      </x:c>
      <x:c r="E29" s="8" t="n">
        <x:f>SUMIF('Kreise_2015'!$C$2:$C$403,A29,'Kreise_2015'!$G$2:$G$403)/D29</x:f>
        <x:v>2614.2615749342394</x:v>
      </x:c>
      <x:c r="F29" s="2" t="n">
        <x:v>2015</x:v>
      </x:c>
      <x:c r="G29" s="9" t="n">
        <x:f>SUMIF('Kreise_2015'!$C$2:$C$403,A29,'Kreise_2015'!$H$2:$H$403)</x:f>
        <x:v>1</x:v>
      </x:c>
    </x:row>
    <x:row r="30" ht="24" customHeight="1">
      <x:c r="A30" s="2" t="n">
        <x:v>30</x:v>
      </x:c>
      <x:c r="B30" s="2" t="str">
        <x:v>Verden</x:v>
      </x:c>
      <x:c r="C30" s="7" t="n">
        <x:f>COUNTIF('Kreise_2015'!$C$2:$C$403,A30)</x:f>
        <x:v>1</x:v>
      </x:c>
      <x:c r="D30" s="7" t="n">
        <x:f>SUMIF('Kreise_2015'!$C$2:$C$403,A30,'Kreise_2015'!$F$2:$F$403)</x:f>
        <x:v>31907</x:v>
      </x:c>
      <x:c r="E30" s="8" t="n">
        <x:f>SUMIF('Kreise_2015'!$C$2:$C$403,A30,'Kreise_2015'!$G$2:$G$403)/D30</x:f>
        <x:v>2826.079150579151</x:v>
      </x:c>
      <x:c r="F30" s="2" t="n">
        <x:v>2015</x:v>
      </x:c>
      <x:c r="G30" s="9" t="n">
        <x:f>SUMIF('Kreise_2015'!$C$2:$C$403,A30,'Kreise_2015'!$H$2:$H$403)</x:f>
        <x:v>1</x:v>
      </x:c>
    </x:row>
    <x:row r="31" ht="24" customHeight="1">
      <x:c r="A31" s="2" t="n">
        <x:v>31</x:v>
      </x:c>
      <x:c r="B31" s="2" t="str">
        <x:v>Emden</x:v>
      </x:c>
      <x:c r="C31" s="7" t="n">
        <x:f>COUNTIF('Kreise_2015'!$C$2:$C$403,A31)</x:f>
        <x:v>2</x:v>
      </x:c>
      <x:c r="D31" s="7" t="n">
        <x:f>SUMIF('Kreise_2015'!$C$2:$C$403,A31,'Kreise_2015'!$F$2:$F$403)</x:f>
        <x:v>70282</x:v>
      </x:c>
      <x:c r="E31" s="8" t="n">
        <x:f>SUMIF('Kreise_2015'!$C$2:$C$403,A31,'Kreise_2015'!$G$2:$G$403)/D31</x:f>
        <x:v>2973.64401337774</x:v>
      </x:c>
      <x:c r="F31" s="2" t="n">
        <x:v>2015</x:v>
      </x:c>
      <x:c r="G31" s="9" t="n">
        <x:f>SUMIF('Kreise_2015'!$C$2:$C$403,A31,'Kreise_2015'!$H$2:$H$403)</x:f>
        <x:v>1</x:v>
      </x:c>
    </x:row>
    <x:row r="32" ht="24" customHeight="1">
      <x:c r="A32" s="2" t="n">
        <x:v>32</x:v>
      </x:c>
      <x:c r="B32" s="2" t="str">
        <x:v>Westerstede</x:v>
      </x:c>
      <x:c r="C32" s="7" t="n">
        <x:f>COUNTIF('Kreise_2015'!$C$2:$C$403,A32)</x:f>
        <x:v>1</x:v>
      </x:c>
      <x:c r="D32" s="7" t="n">
        <x:f>SUMIF('Kreise_2015'!$C$2:$C$403,A32,'Kreise_2015'!$F$2:$F$403)</x:f>
        <x:v>28857</x:v>
      </x:c>
      <x:c r="E32" s="8" t="n">
        <x:f>SUMIF('Kreise_2015'!$C$2:$C$403,A32,'Kreise_2015'!$G$2:$G$403)/D32</x:f>
        <x:v>2699.359649122807</x:v>
      </x:c>
      <x:c r="F32" s="2" t="n">
        <x:v>2015</x:v>
      </x:c>
      <x:c r="G32" s="9" t="n">
        <x:f>SUMIF('Kreise_2015'!$C$2:$C$403,A32,'Kreise_2015'!$H$2:$H$403)</x:f>
        <x:v>1</x:v>
      </x:c>
    </x:row>
    <x:row r="33" ht="24" customHeight="1">
      <x:c r="A33" s="2" t="n">
        <x:v>33</x:v>
      </x:c>
      <x:c r="B33" s="2" t="str">
        <x:v>Oldenburg</x:v>
      </x:c>
      <x:c r="C33" s="7" t="n">
        <x:f>COUNTIF('Kreise_2015'!$C$2:$C$403,A33)</x:f>
        <x:v>2</x:v>
      </x:c>
      <x:c r="D33" s="7" t="n">
        <x:f>SUMIF('Kreise_2015'!$C$2:$C$403,A33,'Kreise_2015'!$F$2:$F$403)</x:f>
        <x:v>76754</x:v>
      </x:c>
      <x:c r="E33" s="8" t="n">
        <x:f>SUMIF('Kreise_2015'!$C$2:$C$403,A33,'Kreise_2015'!$G$2:$G$403)/D33</x:f>
        <x:v>2878.943954879436</x:v>
      </x:c>
      <x:c r="F33" s="2" t="n">
        <x:v>2015</x:v>
      </x:c>
      <x:c r="G33" s="9" t="n">
        <x:f>SUMIF('Kreise_2015'!$C$2:$C$403,A33,'Kreise_2015'!$H$2:$H$403)</x:f>
        <x:v>1</x:v>
      </x:c>
    </x:row>
    <x:row r="34" ht="24" customHeight="1">
      <x:c r="A34" s="2" t="n">
        <x:v>34</x:v>
      </x:c>
      <x:c r="B34" s="2" t="str">
        <x:v>Osnabrück</x:v>
      </x:c>
      <x:c r="C34" s="7" t="n">
        <x:f>COUNTIF('Kreise_2015'!$C$2:$C$403,A34)</x:f>
        <x:v>2</x:v>
      </x:c>
      <x:c r="D34" s="7" t="n">
        <x:f>SUMIF('Kreise_2015'!$C$2:$C$403,A34,'Kreise_2015'!$F$2:$F$403)</x:f>
        <x:v>151535</x:v>
      </x:c>
      <x:c r="E34" s="8" t="n">
        <x:f>SUMIF('Kreise_2015'!$C$2:$C$403,A34,'Kreise_2015'!$G$2:$G$403)/D34</x:f>
        <x:v>2877.935798233786</x:v>
      </x:c>
      <x:c r="F34" s="2" t="n">
        <x:v>2015</x:v>
      </x:c>
      <x:c r="G34" s="9" t="n">
        <x:f>SUMIF('Kreise_2015'!$C$2:$C$403,A34,'Kreise_2015'!$H$2:$H$403)</x:f>
        <x:v>1</x:v>
      </x:c>
    </x:row>
    <x:row r="35" ht="24" customHeight="1">
      <x:c r="A35" s="2" t="n">
        <x:v>35</x:v>
      </x:c>
      <x:c r="B35" s="2" t="str">
        <x:v>Wilhelmshaven</x:v>
      </x:c>
      <x:c r="C35" s="7" t="n">
        <x:f>COUNTIF('Kreise_2015'!$C$2:$C$403,A35)</x:f>
        <x:v>3</x:v>
      </x:c>
      <x:c r="D35" s="7" t="n">
        <x:f>SUMIF('Kreise_2015'!$C$2:$C$403,A35,'Kreise_2015'!$F$2:$F$403)</x:f>
        <x:v>49642</x:v>
      </x:c>
      <x:c r="E35" s="8" t="n">
        <x:f>SUMIF('Kreise_2015'!$C$2:$C$403,A35,'Kreise_2015'!$G$2:$G$403)/D35</x:f>
        <x:v>2854.9631268671487</x:v>
      </x:c>
      <x:c r="F35" s="2" t="n">
        <x:v>2015</x:v>
      </x:c>
      <x:c r="G35" s="9" t="n">
        <x:f>SUMIF('Kreise_2015'!$C$2:$C$403,A35,'Kreise_2015'!$H$2:$H$403)</x:f>
        <x:v>1</x:v>
      </x:c>
    </x:row>
    <x:row r="36" ht="24" customHeight="1">
      <x:c r="A36" s="2" t="n">
        <x:v>36</x:v>
      </x:c>
      <x:c r="B36" s="2" t="str">
        <x:v>Cloppenburg</x:v>
      </x:c>
      <x:c r="C36" s="7" t="n">
        <x:f>COUNTIF('Kreise_2015'!$C$2:$C$403,A36)</x:f>
        <x:v>1</x:v>
      </x:c>
      <x:c r="D36" s="7" t="n">
        <x:f>SUMIF('Kreise_2015'!$C$2:$C$403,A36,'Kreise_2015'!$F$2:$F$403)</x:f>
        <x:v>45398</x:v>
      </x:c>
      <x:c r="E36" s="8" t="n">
        <x:f>SUMIF('Kreise_2015'!$C$2:$C$403,A36,'Kreise_2015'!$G$2:$G$403)/D36</x:f>
        <x:v>2551.3833922261483</x:v>
      </x:c>
      <x:c r="F36" s="2" t="n">
        <x:v>2015</x:v>
      </x:c>
      <x:c r="G36" s="9" t="n">
        <x:f>SUMIF('Kreise_2015'!$C$2:$C$403,A36,'Kreise_2015'!$H$2:$H$403)</x:f>
        <x:v>1</x:v>
      </x:c>
    </x:row>
    <x:row r="37" ht="24" customHeight="1">
      <x:c r="A37" s="2" t="n">
        <x:v>37</x:v>
      </x:c>
      <x:c r="B37" s="2" t="str">
        <x:v>Lingen</x:v>
      </x:c>
      <x:c r="C37" s="7" t="n">
        <x:f>COUNTIF('Kreise_2015'!$C$2:$C$403,A37)</x:f>
        <x:v>1</x:v>
      </x:c>
      <x:c r="D37" s="7" t="n">
        <x:f>SUMIF('Kreise_2015'!$C$2:$C$403,A37,'Kreise_2015'!$F$2:$F$403)</x:f>
        <x:v>97292</x:v>
      </x:c>
      <x:c r="E37" s="8" t="n">
        <x:f>SUMIF('Kreise_2015'!$C$2:$C$403,A37,'Kreise_2015'!$G$2:$G$403)/D37</x:f>
        <x:v>2872.9869451697127</x:v>
      </x:c>
      <x:c r="F37" s="2" t="n">
        <x:v>2015</x:v>
      </x:c>
      <x:c r="G37" s="9" t="n">
        <x:f>SUMIF('Kreise_2015'!$C$2:$C$403,A37,'Kreise_2015'!$H$2:$H$403)</x:f>
        <x:v>1</x:v>
      </x:c>
    </x:row>
    <x:row r="38" ht="24" customHeight="1">
      <x:c r="A38" s="2" t="n">
        <x:v>38</x:v>
      </x:c>
      <x:c r="B38" s="2" t="str">
        <x:v>Nordhorn</x:v>
      </x:c>
      <x:c r="C38" s="7" t="n">
        <x:f>COUNTIF('Kreise_2015'!$C$2:$C$403,A38)</x:f>
        <x:v>1</x:v>
      </x:c>
      <x:c r="D38" s="7" t="n">
        <x:f>SUMIF('Kreise_2015'!$C$2:$C$403,A38,'Kreise_2015'!$F$2:$F$403)</x:f>
        <x:v>34159</x:v>
      </x:c>
      <x:c r="E38" s="8" t="n">
        <x:f>SUMIF('Kreise_2015'!$C$2:$C$403,A38,'Kreise_2015'!$G$2:$G$403)/D38</x:f>
        <x:v>2728.324620573356</x:v>
      </x:c>
      <x:c r="F38" s="2" t="n">
        <x:v>2015</x:v>
      </x:c>
      <x:c r="G38" s="9" t="n">
        <x:f>SUMIF('Kreise_2015'!$C$2:$C$403,A38,'Kreise_2015'!$H$2:$H$403)</x:f>
        <x:v>1</x:v>
      </x:c>
    </x:row>
    <x:row r="39" ht="24" customHeight="1">
      <x:c r="A39" s="2" t="n">
        <x:v>39</x:v>
      </x:c>
      <x:c r="B39" s="2" t="str">
        <x:v>Leer</x:v>
      </x:c>
      <x:c r="C39" s="7" t="n">
        <x:f>COUNTIF('Kreise_2015'!$C$2:$C$403,A39)</x:f>
        <x:v>1</x:v>
      </x:c>
      <x:c r="D39" s="7" t="n">
        <x:f>SUMIF('Kreise_2015'!$C$2:$C$403,A39,'Kreise_2015'!$F$2:$F$403)</x:f>
        <x:v>31504</x:v>
      </x:c>
      <x:c r="E39" s="8" t="n">
        <x:f>SUMIF('Kreise_2015'!$C$2:$C$403,A39,'Kreise_2015'!$G$2:$G$403)/D39</x:f>
        <x:v>2685.6391650099404</x:v>
      </x:c>
      <x:c r="F39" s="2" t="n">
        <x:v>2015</x:v>
      </x:c>
      <x:c r="G39" s="9" t="n">
        <x:f>SUMIF('Kreise_2015'!$C$2:$C$403,A39,'Kreise_2015'!$H$2:$H$403)</x:f>
        <x:v>1</x:v>
      </x:c>
    </x:row>
    <x:row r="40" ht="24" customHeight="1">
      <x:c r="A40" s="2" t="n">
        <x:v>40</x:v>
      </x:c>
      <x:c r="B40" s="2" t="str">
        <x:v>Vechta</x:v>
      </x:c>
      <x:c r="C40" s="7" t="n">
        <x:f>COUNTIF('Kreise_2015'!$C$2:$C$403,A40)</x:f>
        <x:v>1</x:v>
      </x:c>
      <x:c r="D40" s="7" t="n">
        <x:f>SUMIF('Kreise_2015'!$C$2:$C$403,A40,'Kreise_2015'!$F$2:$F$403)</x:f>
        <x:v>52435</x:v>
      </x:c>
      <x:c r="E40" s="8" t="n">
        <x:f>SUMIF('Kreise_2015'!$C$2:$C$403,A40,'Kreise_2015'!$G$2:$G$403)/D40</x:f>
        <x:v>2710.5461893764436</x:v>
      </x:c>
      <x:c r="F40" s="2" t="n">
        <x:v>2015</x:v>
      </x:c>
      <x:c r="G40" s="9" t="n">
        <x:f>SUMIF('Kreise_2015'!$C$2:$C$403,A40,'Kreise_2015'!$H$2:$H$403)</x:f>
        <x:v>1</x:v>
      </x:c>
    </x:row>
    <x:row r="41" ht="24" customHeight="1">
      <x:c r="A41" s="2" t="n">
        <x:v>41</x:v>
      </x:c>
      <x:c r="B41" s="2" t="str">
        <x:v>Nordenham</x:v>
      </x:c>
      <x:c r="C41" s="7" t="n">
        <x:f>COUNTIF('Kreise_2015'!$C$2:$C$403,A41)</x:f>
        <x:v>1</x:v>
      </x:c>
      <x:c r="D41" s="7" t="n">
        <x:f>SUMIF('Kreise_2015'!$C$2:$C$403,A41,'Kreise_2015'!$F$2:$F$403)</x:f>
        <x:v>21811</x:v>
      </x:c>
      <x:c r="E41" s="8" t="n">
        <x:f>SUMIF('Kreise_2015'!$C$2:$C$403,A41,'Kreise_2015'!$G$2:$G$403)/D41</x:f>
        <x:v>3338.0461254612546</x:v>
      </x:c>
      <x:c r="F41" s="2" t="n">
        <x:v>2015</x:v>
      </x:c>
      <x:c r="G41" s="9" t="n">
        <x:f>SUMIF('Kreise_2015'!$C$2:$C$403,A41,'Kreise_2015'!$H$2:$H$403)</x:f>
        <x:v>1</x:v>
      </x:c>
    </x:row>
    <x:row r="42" ht="24" customHeight="1">
      <x:c r="A42" s="2" t="n">
        <x:v>42</x:v>
      </x:c>
      <x:c r="B42" s="2" t="str">
        <x:v>Bremen</x:v>
      </x:c>
      <x:c r="C42" s="7" t="n">
        <x:f>COUNTIF('Kreise_2015'!$C$2:$C$403,A42)</x:f>
        <x:v>3</x:v>
      </x:c>
      <x:c r="D42" s="7" t="n">
        <x:f>SUMIF('Kreise_2015'!$C$2:$C$403,A42,'Kreise_2015'!$F$2:$F$403)</x:f>
        <x:v>218080</x:v>
      </x:c>
      <x:c r="E42" s="8" t="n">
        <x:f>SUMIF('Kreise_2015'!$C$2:$C$403,A42,'Kreise_2015'!$G$2:$G$403)/D42</x:f>
        <x:v>3260.9823303358116</x:v>
      </x:c>
      <x:c r="F42" s="2" t="n">
        <x:v>2015</x:v>
      </x:c>
      <x:c r="G42" s="9" t="n">
        <x:f>SUMIF('Kreise_2015'!$C$2:$C$403,A42,'Kreise_2015'!$H$2:$H$403)</x:f>
        <x:v>1</x:v>
      </x:c>
    </x:row>
    <x:row r="43" ht="24" customHeight="1">
      <x:c r="A43" s="2" t="n">
        <x:v>43</x:v>
      </x:c>
      <x:c r="B43" s="2" t="str">
        <x:v>Bremerhaven</x:v>
      </x:c>
      <x:c r="C43" s="7" t="n">
        <x:f>COUNTIF('Kreise_2015'!$C$2:$C$403,A43)</x:f>
        <x:v>2</x:v>
      </x:c>
      <x:c r="D43" s="7" t="n">
        <x:f>SUMIF('Kreise_2015'!$C$2:$C$403,A43,'Kreise_2015'!$F$2:$F$403)</x:f>
        <x:v>67566</x:v>
      </x:c>
      <x:c r="E43" s="8" t="n">
        <x:f>SUMIF('Kreise_2015'!$C$2:$C$403,A43,'Kreise_2015'!$G$2:$G$403)/D43</x:f>
        <x:v>2912.917780020377</x:v>
      </x:c>
      <x:c r="F43" s="2" t="n">
        <x:v>2015</x:v>
      </x:c>
      <x:c r="G43" s="9" t="n">
        <x:f>SUMIF('Kreise_2015'!$C$2:$C$403,A43,'Kreise_2015'!$H$2:$H$403)</x:f>
        <x:v>1</x:v>
      </x:c>
    </x:row>
    <x:row r="44" ht="24" customHeight="1">
      <x:c r="A44" s="2" t="n">
        <x:v>44</x:v>
      </x:c>
      <x:c r="B44" s="2" t="str">
        <x:v>Höxter</x:v>
      </x:c>
      <x:c r="C44" s="7" t="n">
        <x:f>COUNTIF('Kreise_2015'!$C$2:$C$403,A44)</x:f>
        <x:v>1</x:v>
      </x:c>
      <x:c r="D44" s="7" t="n">
        <x:f>SUMIF('Kreise_2015'!$C$2:$C$403,A44,'Kreise_2015'!$F$2:$F$403)</x:f>
        <x:v>30766</x:v>
      </x:c>
      <x:c r="E44" s="8" t="n">
        <x:f>SUMIF('Kreise_2015'!$C$2:$C$403,A44,'Kreise_2015'!$G$2:$G$403)/D44</x:f>
        <x:v>2809.3541666666665</x:v>
      </x:c>
      <x:c r="F44" s="2" t="n">
        <x:v>2015</x:v>
      </x:c>
      <x:c r="G44" s="9" t="n">
        <x:f>SUMIF('Kreise_2015'!$C$2:$C$403,A44,'Kreise_2015'!$H$2:$H$403)</x:f>
        <x:v>1</x:v>
      </x:c>
    </x:row>
    <x:row r="45" ht="24" customHeight="1">
      <x:c r="A45" s="2" t="n">
        <x:v>45</x:v>
      </x:c>
      <x:c r="B45" s="2" t="str">
        <x:v>Düsseldorf</x:v>
      </x:c>
      <x:c r="C45" s="7" t="n">
        <x:f>COUNTIF('Kreise_2015'!$C$2:$C$403,A45)</x:f>
        <x:v>3</x:v>
      </x:c>
      <x:c r="D45" s="7" t="n">
        <x:f>SUMIF('Kreise_2015'!$C$2:$C$403,A45,'Kreise_2015'!$F$2:$F$403)</x:f>
        <x:v>555162</x:v>
      </x:c>
      <x:c r="E45" s="8" t="n">
        <x:f>SUMIF('Kreise_2015'!$C$2:$C$403,A45,'Kreise_2015'!$G$2:$G$403)/D45</x:f>
        <x:v>3559.811916850405</x:v>
      </x:c>
      <x:c r="F45" s="2" t="n">
        <x:v>2015</x:v>
      </x:c>
      <x:c r="G45" s="9" t="n">
        <x:f>SUMIF('Kreise_2015'!$C$2:$C$403,A45,'Kreise_2015'!$H$2:$H$403)</x:f>
        <x:v>1</x:v>
      </x:c>
    </x:row>
    <x:row r="46" ht="24" customHeight="1">
      <x:c r="A46" s="2" t="n">
        <x:v>46</x:v>
      </x:c>
      <x:c r="B46" s="2" t="str">
        <x:v>Duisburg</x:v>
      </x:c>
      <x:c r="C46" s="7" t="n">
        <x:f>COUNTIF('Kreise_2015'!$C$2:$C$403,A46)</x:f>
        <x:v>3</x:v>
      </x:c>
      <x:c r="D46" s="7" t="n">
        <x:f>SUMIF('Kreise_2015'!$C$2:$C$403,A46,'Kreise_2015'!$F$2:$F$403)</x:f>
        <x:v>266513</x:v>
      </x:c>
      <x:c r="E46" s="8" t="n">
        <x:f>SUMIF('Kreise_2015'!$C$2:$C$403,A46,'Kreise_2015'!$G$2:$G$403)/D46</x:f>
        <x:v>3190.7063939579407</x:v>
      </x:c>
      <x:c r="F46" s="2" t="n">
        <x:v>2015</x:v>
      </x:c>
      <x:c r="G46" s="9" t="n">
        <x:f>SUMIF('Kreise_2015'!$C$2:$C$403,A46,'Kreise_2015'!$H$2:$H$403)</x:f>
        <x:v>1</x:v>
      </x:c>
    </x:row>
    <x:row r="47" ht="24" customHeight="1">
      <x:c r="A47" s="2" t="n">
        <x:v>47</x:v>
      </x:c>
      <x:c r="B47" s="2" t="str">
        <x:v>Essen</x:v>
      </x:c>
      <x:c r="C47" s="7" t="n">
        <x:f>COUNTIF('Kreise_2015'!$C$2:$C$403,A47)</x:f>
        <x:v>2</x:v>
      </x:c>
      <x:c r="D47" s="7" t="n">
        <x:f>SUMIF('Kreise_2015'!$C$2:$C$403,A47,'Kreise_2015'!$F$2:$F$403)</x:f>
        <x:v>221293</x:v>
      </x:c>
      <x:c r="E47" s="8" t="n">
        <x:f>SUMIF('Kreise_2015'!$C$2:$C$403,A47,'Kreise_2015'!$G$2:$G$403)/D47</x:f>
        <x:v>3346.478150771608</x:v>
      </x:c>
      <x:c r="F47" s="2" t="n">
        <x:v>2015</x:v>
      </x:c>
      <x:c r="G47" s="9" t="n">
        <x:f>SUMIF('Kreise_2015'!$C$2:$C$403,A47,'Kreise_2015'!$H$2:$H$403)</x:f>
        <x:v>1</x:v>
      </x:c>
    </x:row>
    <x:row r="48" ht="24" customHeight="1">
      <x:c r="A48" s="2" t="n">
        <x:v>48</x:v>
      </x:c>
      <x:c r="B48" s="2" t="str">
        <x:v>Krefeld</x:v>
      </x:c>
      <x:c r="C48" s="7" t="n">
        <x:f>COUNTIF('Kreise_2015'!$C$2:$C$403,A48)</x:f>
        <x:v>1</x:v>
      </x:c>
      <x:c r="D48" s="7" t="n">
        <x:f>SUMIF('Kreise_2015'!$C$2:$C$403,A48,'Kreise_2015'!$F$2:$F$403)</x:f>
        <x:v>65715</x:v>
      </x:c>
      <x:c r="E48" s="8" t="n">
        <x:f>SUMIF('Kreise_2015'!$C$2:$C$403,A48,'Kreise_2015'!$G$2:$G$403)/D48</x:f>
        <x:v>3385.8137516688917</x:v>
      </x:c>
      <x:c r="F48" s="2" t="n">
        <x:v>2015</x:v>
      </x:c>
      <x:c r="G48" s="9" t="n">
        <x:f>SUMIF('Kreise_2015'!$C$2:$C$403,A48,'Kreise_2015'!$H$2:$H$403)</x:f>
        <x:v>1</x:v>
      </x:c>
    </x:row>
    <x:row r="49" ht="24" customHeight="1">
      <x:c r="A49" s="2" t="n">
        <x:v>49</x:v>
      </x:c>
      <x:c r="B49" s="2" t="str">
        <x:v>Viersen</x:v>
      </x:c>
      <x:c r="C49" s="7" t="n">
        <x:f>COUNTIF('Kreise_2015'!$C$2:$C$403,A49)</x:f>
        <x:v>1</x:v>
      </x:c>
      <x:c r="D49" s="7" t="n">
        <x:f>SUMIF('Kreise_2015'!$C$2:$C$403,A49,'Kreise_2015'!$F$2:$F$403)</x:f>
        <x:v>62140</x:v>
      </x:c>
      <x:c r="E49" s="8" t="n">
        <x:f>SUMIF('Kreise_2015'!$C$2:$C$403,A49,'Kreise_2015'!$G$2:$G$403)/D49</x:f>
        <x:v>2899.0477178423234</x:v>
      </x:c>
      <x:c r="F49" s="2" t="n">
        <x:v>2015</x:v>
      </x:c>
      <x:c r="G49" s="9" t="n">
        <x:f>SUMIF('Kreise_2015'!$C$2:$C$403,A49,'Kreise_2015'!$H$2:$H$403)</x:f>
        <x:v>1</x:v>
      </x:c>
    </x:row>
    <x:row r="50" ht="24" customHeight="1">
      <x:c r="A50" s="2" t="n">
        <x:v>50</x:v>
      </x:c>
      <x:c r="B50" s="2" t="str">
        <x:v>Mönchengladbach</x:v>
      </x:c>
      <x:c r="C50" s="7" t="n">
        <x:f>COUNTIF('Kreise_2015'!$C$2:$C$403,A50)</x:f>
        <x:v>1</x:v>
      </x:c>
      <x:c r="D50" s="7" t="n">
        <x:f>SUMIF('Kreise_2015'!$C$2:$C$403,A50,'Kreise_2015'!$F$2:$F$403)</x:f>
        <x:v>69447</x:v>
      </x:c>
      <x:c r="E50" s="8" t="n">
        <x:f>SUMIF('Kreise_2015'!$C$2:$C$403,A50,'Kreise_2015'!$G$2:$G$403)/D50</x:f>
        <x:v>2981.59243697479</x:v>
      </x:c>
      <x:c r="F50" s="2" t="n">
        <x:v>2015</x:v>
      </x:c>
      <x:c r="G50" s="9" t="n">
        <x:f>SUMIF('Kreise_2015'!$C$2:$C$403,A50,'Kreise_2015'!$H$2:$H$403)</x:f>
        <x:v>1</x:v>
      </x:c>
    </x:row>
    <x:row r="51" ht="24" customHeight="1">
      <x:c r="A51" s="2" t="n">
        <x:v>51</x:v>
      </x:c>
      <x:c r="B51" s="2" t="str">
        <x:v>Heinsberg</x:v>
      </x:c>
      <x:c r="C51" s="7" t="n">
        <x:f>COUNTIF('Kreise_2015'!$C$2:$C$403,A51)</x:f>
        <x:v>1</x:v>
      </x:c>
      <x:c r="D51" s="7" t="n">
        <x:f>SUMIF('Kreise_2015'!$C$2:$C$403,A51,'Kreise_2015'!$F$2:$F$403)</x:f>
        <x:v>47149</x:v>
      </x:c>
      <x:c r="E51" s="8" t="n">
        <x:f>SUMIF('Kreise_2015'!$C$2:$C$403,A51,'Kreise_2015'!$G$2:$G$403)/D51</x:f>
        <x:v>2826.759946949602</x:v>
      </x:c>
      <x:c r="F51" s="2" t="n">
        <x:v>2015</x:v>
      </x:c>
      <x:c r="G51" s="9" t="n">
        <x:f>SUMIF('Kreise_2015'!$C$2:$C$403,A51,'Kreise_2015'!$H$2:$H$403)</x:f>
        <x:v>1</x:v>
      </x:c>
    </x:row>
    <x:row r="52" ht="24" customHeight="1">
      <x:c r="A52" s="2" t="n">
        <x:v>52</x:v>
      </x:c>
      <x:c r="B52" s="2" t="str">
        <x:v>Wuppertal</x:v>
      </x:c>
      <x:c r="C52" s="7" t="n">
        <x:f>COUNTIF('Kreise_2015'!$C$2:$C$403,A52)</x:f>
        <x:v>2</x:v>
      </x:c>
      <x:c r="D52" s="7" t="n">
        <x:f>SUMIF('Kreise_2015'!$C$2:$C$403,A52,'Kreise_2015'!$F$2:$F$403)</x:f>
        <x:v>126772</x:v>
      </x:c>
      <x:c r="E52" s="8" t="n">
        <x:f>SUMIF('Kreise_2015'!$C$2:$C$403,A52,'Kreise_2015'!$G$2:$G$403)/D52</x:f>
        <x:v>3169.2825922814654</x:v>
      </x:c>
      <x:c r="F52" s="2" t="n">
        <x:v>2015</x:v>
      </x:c>
      <x:c r="G52" s="9" t="n">
        <x:f>SUMIF('Kreise_2015'!$C$2:$C$403,A52,'Kreise_2015'!$H$2:$H$403)</x:f>
        <x:v>1</x:v>
      </x:c>
    </x:row>
    <x:row r="53" ht="24" customHeight="1">
      <x:c r="A53" s="2" t="n">
        <x:v>53</x:v>
      </x:c>
      <x:c r="B53" s="2" t="str">
        <x:v>Schwelm</x:v>
      </x:c>
      <x:c r="C53" s="7" t="n">
        <x:f>COUNTIF('Kreise_2015'!$C$2:$C$403,A53)</x:f>
        <x:v>1</x:v>
      </x:c>
      <x:c r="D53" s="7" t="n">
        <x:f>SUMIF('Kreise_2015'!$C$2:$C$403,A53,'Kreise_2015'!$F$2:$F$403)</x:f>
        <x:v>77944</x:v>
      </x:c>
      <x:c r="E53" s="8" t="n">
        <x:f>SUMIF('Kreise_2015'!$C$2:$C$403,A53,'Kreise_2015'!$G$2:$G$403)/D53</x:f>
        <x:v>3159.5444444444443</x:v>
      </x:c>
      <x:c r="F53" s="2" t="n">
        <x:v>2015</x:v>
      </x:c>
      <x:c r="G53" s="9" t="n">
        <x:f>SUMIF('Kreise_2015'!$C$2:$C$403,A53,'Kreise_2015'!$H$2:$H$403)</x:f>
        <x:v>1</x:v>
      </x:c>
    </x:row>
    <x:row r="54" ht="24" customHeight="1">
      <x:c r="A54" s="2" t="n">
        <x:v>54</x:v>
      </x:c>
      <x:c r="B54" s="2" t="str">
        <x:v>Remscheid</x:v>
      </x:c>
      <x:c r="C54" s="7" t="n">
        <x:f>COUNTIF('Kreise_2015'!$C$2:$C$403,A54)</x:f>
        <x:v>1</x:v>
      </x:c>
      <x:c r="D54" s="7" t="n">
        <x:f>SUMIF('Kreise_2015'!$C$2:$C$403,A54,'Kreise_2015'!$F$2:$F$403)</x:f>
        <x:v>33434</x:v>
      </x:c>
      <x:c r="E54" s="8" t="n">
        <x:f>SUMIF('Kreise_2015'!$C$2:$C$403,A54,'Kreise_2015'!$G$2:$G$403)/D54</x:f>
        <x:v>3243.383211678832</x:v>
      </x:c>
      <x:c r="F54" s="2" t="n">
        <x:v>2015</x:v>
      </x:c>
      <x:c r="G54" s="9" t="n">
        <x:f>SUMIF('Kreise_2015'!$C$2:$C$403,A54,'Kreise_2015'!$H$2:$H$403)</x:f>
        <x:v>1</x:v>
      </x:c>
    </x:row>
    <x:row r="55" ht="24" customHeight="1">
      <x:c r="A55" s="2" t="n">
        <x:v>55</x:v>
      </x:c>
      <x:c r="B55" s="2" t="str">
        <x:v>Kleve</x:v>
      </x:c>
      <x:c r="C55" s="7" t="n">
        <x:f>COUNTIF('Kreise_2015'!$C$2:$C$403,A55)</x:f>
        <x:v>1</x:v>
      </x:c>
      <x:c r="D55" s="7" t="n">
        <x:f>SUMIF('Kreise_2015'!$C$2:$C$403,A55,'Kreise_2015'!$F$2:$F$403)</x:f>
        <x:v>67105</x:v>
      </x:c>
      <x:c r="E55" s="8" t="n">
        <x:f>SUMIF('Kreise_2015'!$C$2:$C$403,A55,'Kreise_2015'!$G$2:$G$403)/D55</x:f>
        <x:v>2775.8263052208836</x:v>
      </x:c>
      <x:c r="F55" s="2" t="n">
        <x:v>2015</x:v>
      </x:c>
      <x:c r="G55" s="9" t="n">
        <x:f>SUMIF('Kreise_2015'!$C$2:$C$403,A55,'Kreise_2015'!$H$2:$H$403)</x:f>
        <x:v>1</x:v>
      </x:c>
    </x:row>
    <x:row r="56" ht="24" customHeight="1">
      <x:c r="A56" s="2" t="n">
        <x:v>56</x:v>
      </x:c>
      <x:c r="B56" s="2" t="str">
        <x:v>Aachen</x:v>
      </x:c>
      <x:c r="C56" s="7" t="n">
        <x:f>COUNTIF('Kreise_2015'!$C$2:$C$403,A56)</x:f>
        <x:v>1</x:v>
      </x:c>
      <x:c r="D56" s="7" t="n">
        <x:f>SUMIF('Kreise_2015'!$C$2:$C$403,A56,'Kreise_2015'!$F$2:$F$403)</x:f>
        <x:v>145330</x:v>
      </x:c>
      <x:c r="E56" s="8" t="n">
        <x:f>SUMIF('Kreise_2015'!$C$2:$C$403,A56,'Kreise_2015'!$G$2:$G$403)/D56</x:f>
        <x:v>3217.0439242503944</x:v>
      </x:c>
      <x:c r="F56" s="2" t="n">
        <x:v>2015</x:v>
      </x:c>
      <x:c r="G56" s="9" t="n">
        <x:f>SUMIF('Kreise_2015'!$C$2:$C$403,A56,'Kreise_2015'!$H$2:$H$403)</x:f>
        <x:v>1</x:v>
      </x:c>
    </x:row>
    <x:row r="57" ht="24" customHeight="1">
      <x:c r="A57" s="2" t="n">
        <x:v>57</x:v>
      </x:c>
      <x:c r="B57" s="2" t="str">
        <x:v>Köln</x:v>
      </x:c>
      <x:c r="C57" s="7" t="n">
        <x:f>COUNTIF('Kreise_2015'!$C$2:$C$403,A57)</x:f>
        <x:v>3</x:v>
      </x:c>
      <x:c r="D57" s="7" t="n">
        <x:f>SUMIF('Kreise_2015'!$C$2:$C$403,A57,'Kreise_2015'!$F$2:$F$403)</x:f>
        <x:v>544064</x:v>
      </x:c>
      <x:c r="E57" s="8" t="n">
        <x:f>SUMIF('Kreise_2015'!$C$2:$C$403,A57,'Kreise_2015'!$G$2:$G$403)/D57</x:f>
        <x:v>3429.007699498633</x:v>
      </x:c>
      <x:c r="F57" s="2" t="n">
        <x:v>2015</x:v>
      </x:c>
      <x:c r="G57" s="9" t="n">
        <x:f>SUMIF('Kreise_2015'!$C$2:$C$403,A57,'Kreise_2015'!$H$2:$H$403)</x:f>
        <x:v>1</x:v>
      </x:c>
    </x:row>
    <x:row r="58" ht="24" customHeight="1">
      <x:c r="A58" s="2" t="n">
        <x:v>58</x:v>
      </x:c>
      <x:c r="B58" s="2" t="str">
        <x:v>Leverkusen</x:v>
      </x:c>
      <x:c r="C58" s="7" t="n">
        <x:f>COUNTIF('Kreise_2015'!$C$2:$C$403,A58)</x:f>
        <x:v>1</x:v>
      </x:c>
      <x:c r="D58" s="7" t="n">
        <x:f>SUMIF('Kreise_2015'!$C$2:$C$403,A58,'Kreise_2015'!$F$2:$F$403)</x:f>
        <x:v>48327</x:v>
      </x:c>
      <x:c r="E58" s="8" t="n">
        <x:f>SUMIF('Kreise_2015'!$C$2:$C$403,A58,'Kreise_2015'!$G$2:$G$403)/D58</x:f>
        <x:v>4048.331632653061</x:v>
      </x:c>
      <x:c r="F58" s="2" t="n">
        <x:v>2015</x:v>
      </x:c>
      <x:c r="G58" s="9" t="n">
        <x:f>SUMIF('Kreise_2015'!$C$2:$C$403,A58,'Kreise_2015'!$H$2:$H$403)</x:f>
        <x:v>1</x:v>
      </x:c>
    </x:row>
    <x:row r="59" ht="24" customHeight="1">
      <x:c r="A59" s="2" t="n">
        <x:v>59</x:v>
      </x:c>
      <x:c r="B59" s="2" t="str">
        <x:v>Bonn</x:v>
      </x:c>
      <x:c r="C59" s="7" t="n">
        <x:f>COUNTIF('Kreise_2015'!$C$2:$C$403,A59)</x:f>
        <x:v>2</x:v>
      </x:c>
      <x:c r="D59" s="7" t="n">
        <x:f>SUMIF('Kreise_2015'!$C$2:$C$403,A59,'Kreise_2015'!$F$2:$F$403)</x:f>
        <x:v>228560</x:v>
      </x:c>
      <x:c r="E59" s="8" t="n">
        <x:f>SUMIF('Kreise_2015'!$C$2:$C$403,A59,'Kreise_2015'!$G$2:$G$403)/D59</x:f>
        <x:v>3355.123055142144</x:v>
      </x:c>
      <x:c r="F59" s="2" t="n">
        <x:v>2015</x:v>
      </x:c>
      <x:c r="G59" s="9" t="n">
        <x:f>SUMIF('Kreise_2015'!$C$2:$C$403,A59,'Kreise_2015'!$H$2:$H$403)</x:f>
        <x:v>1</x:v>
      </x:c>
    </x:row>
    <x:row r="60" ht="24" customHeight="1">
      <x:c r="A60" s="2" t="n">
        <x:v>60</x:v>
      </x:c>
      <x:c r="B60" s="2" t="str">
        <x:v>Düren</x:v>
      </x:c>
      <x:c r="C60" s="7" t="n">
        <x:f>COUNTIF('Kreise_2015'!$C$2:$C$403,A60)</x:f>
        <x:v>1</x:v>
      </x:c>
      <x:c r="D60" s="7" t="n">
        <x:f>SUMIF('Kreise_2015'!$C$2:$C$403,A60,'Kreise_2015'!$F$2:$F$403)</x:f>
        <x:v>56978</x:v>
      </x:c>
      <x:c r="E60" s="8" t="n">
        <x:f>SUMIF('Kreise_2015'!$C$2:$C$403,A60,'Kreise_2015'!$G$2:$G$403)/D60</x:f>
        <x:v>3136.014888337469</x:v>
      </x:c>
      <x:c r="F60" s="2" t="n">
        <x:v>2015</x:v>
      </x:c>
      <x:c r="G60" s="9" t="n">
        <x:f>SUMIF('Kreise_2015'!$C$2:$C$403,A60,'Kreise_2015'!$H$2:$H$403)</x:f>
        <x:v>1</x:v>
      </x:c>
    </x:row>
    <x:row r="61" ht="24" customHeight="1">
      <x:c r="A61" s="2" t="n">
        <x:v>61</x:v>
      </x:c>
      <x:c r="B61" s="2" t="str">
        <x:v>Euskirchen</x:v>
      </x:c>
      <x:c r="C61" s="7" t="n">
        <x:f>COUNTIF('Kreise_2015'!$C$2:$C$403,A61)</x:f>
        <x:v>1</x:v>
      </x:c>
      <x:c r="D61" s="7" t="n">
        <x:f>SUMIF('Kreise_2015'!$C$2:$C$403,A61,'Kreise_2015'!$F$2:$F$403)</x:f>
        <x:v>39205</x:v>
      </x:c>
      <x:c r="E61" s="8" t="n">
        <x:f>SUMIF('Kreise_2015'!$C$2:$C$403,A61,'Kreise_2015'!$G$2:$G$403)/D61</x:f>
        <x:v>2943.3006329113923</x:v>
      </x:c>
      <x:c r="F61" s="2" t="n">
        <x:v>2015</x:v>
      </x:c>
      <x:c r="G61" s="9" t="n">
        <x:f>SUMIF('Kreise_2015'!$C$2:$C$403,A61,'Kreise_2015'!$H$2:$H$403)</x:f>
        <x:v>1</x:v>
      </x:c>
    </x:row>
    <x:row r="62" ht="24" customHeight="1">
      <x:c r="A62" s="2" t="n">
        <x:v>62</x:v>
      </x:c>
      <x:c r="B62" s="2" t="str">
        <x:v>Gummersbach</x:v>
      </x:c>
      <x:c r="C62" s="7" t="n">
        <x:f>COUNTIF('Kreise_2015'!$C$2:$C$403,A62)</x:f>
        <x:v>1</x:v>
      </x:c>
      <x:c r="D62" s="7" t="n">
        <x:f>SUMIF('Kreise_2015'!$C$2:$C$403,A62,'Kreise_2015'!$F$2:$F$403)</x:f>
        <x:v>78027</x:v>
      </x:c>
      <x:c r="E62" s="8" t="n">
        <x:f>SUMIF('Kreise_2015'!$C$2:$C$403,A62,'Kreise_2015'!$G$2:$G$403)/D62</x:f>
        <x:v>3192.8060156931124</x:v>
      </x:c>
      <x:c r="F62" s="2" t="n">
        <x:v>2015</x:v>
      </x:c>
      <x:c r="G62" s="9" t="n">
        <x:f>SUMIF('Kreise_2015'!$C$2:$C$403,A62,'Kreise_2015'!$H$2:$H$403)</x:f>
        <x:v>1</x:v>
      </x:c>
    </x:row>
    <x:row r="63" ht="24" customHeight="1">
      <x:c r="A63" s="2" t="n">
        <x:v>63</x:v>
      </x:c>
      <x:c r="B63" s="2" t="str">
        <x:v>Gelsenkirchen</x:v>
      </x:c>
      <x:c r="C63" s="7" t="n">
        <x:f>COUNTIF('Kreise_2015'!$C$2:$C$403,A63)</x:f>
        <x:v>4</x:v>
      </x:c>
      <x:c r="D63" s="7" t="n">
        <x:f>SUMIF('Kreise_2015'!$C$2:$C$403,A63,'Kreise_2015'!$F$2:$F$403)</x:f>
        <x:v>226961</x:v>
      </x:c>
      <x:c r="E63" s="8" t="n">
        <x:f>SUMIF('Kreise_2015'!$C$2:$C$403,A63,'Kreise_2015'!$G$2:$G$403)/D63</x:f>
        <x:v>3081.4965929225423</x:v>
      </x:c>
      <x:c r="F63" s="2" t="n">
        <x:v>2015</x:v>
      </x:c>
      <x:c r="G63" s="9" t="n">
        <x:f>SUMIF('Kreise_2015'!$C$2:$C$403,A63,'Kreise_2015'!$H$2:$H$403)</x:f>
        <x:v>1</x:v>
      </x:c>
    </x:row>
    <x:row r="64" ht="24" customHeight="1">
      <x:c r="A64" s="2" t="n">
        <x:v>64</x:v>
      </x:c>
      <x:c r="B64" s="2" t="str">
        <x:v>Münster</x:v>
      </x:c>
      <x:c r="C64" s="7" t="n">
        <x:f>COUNTIF('Kreise_2015'!$C$2:$C$403,A64)</x:f>
        <x:v>3</x:v>
      </x:c>
      <x:c r="D64" s="7" t="n">
        <x:f>SUMIF('Kreise_2015'!$C$2:$C$403,A64,'Kreise_2015'!$F$2:$F$403)</x:f>
        <x:v>225696</x:v>
      </x:c>
      <x:c r="E64" s="8" t="n">
        <x:f>SUMIF('Kreise_2015'!$C$2:$C$403,A64,'Kreise_2015'!$G$2:$G$403)/D64</x:f>
        <x:v>3147.331551328422</x:v>
      </x:c>
      <x:c r="F64" s="2" t="n">
        <x:v>2015</x:v>
      </x:c>
      <x:c r="G64" s="9" t="n">
        <x:f>SUMIF('Kreise_2015'!$C$2:$C$403,A64,'Kreise_2015'!$H$2:$H$403)</x:f>
        <x:v>1</x:v>
      </x:c>
    </x:row>
    <x:row r="65" ht="24" customHeight="1">
      <x:c r="A65" s="2" t="n">
        <x:v>65</x:v>
      </x:c>
      <x:c r="B65" s="2" t="str">
        <x:v>Borken</x:v>
      </x:c>
      <x:c r="C65" s="7" t="n">
        <x:f>COUNTIF('Kreise_2015'!$C$2:$C$403,A65)</x:f>
        <x:v>1</x:v>
      </x:c>
      <x:c r="D65" s="7" t="n">
        <x:f>SUMIF('Kreise_2015'!$C$2:$C$403,A65,'Kreise_2015'!$F$2:$F$403)</x:f>
        <x:v>106235</x:v>
      </x:c>
      <x:c r="E65" s="8" t="n">
        <x:f>SUMIF('Kreise_2015'!$C$2:$C$403,A65,'Kreise_2015'!$G$2:$G$403)/D65</x:f>
        <x:v>2988.1488865872607</x:v>
      </x:c>
      <x:c r="F65" s="2" t="n">
        <x:v>2015</x:v>
      </x:c>
      <x:c r="G65" s="9" t="n">
        <x:f>SUMIF('Kreise_2015'!$C$2:$C$403,A65,'Kreise_2015'!$H$2:$H$403)</x:f>
        <x:v>1</x:v>
      </x:c>
    </x:row>
    <x:row r="66" ht="24" customHeight="1">
      <x:c r="A66" s="2" t="n">
        <x:v>66</x:v>
      </x:c>
      <x:c r="B66" s="2" t="str">
        <x:v>Steinfurt</x:v>
      </x:c>
      <x:c r="C66" s="7" t="n">
        <x:f>COUNTIF('Kreise_2015'!$C$2:$C$403,A66)</x:f>
        <x:v>1</x:v>
      </x:c>
      <x:c r="D66" s="7" t="n">
        <x:f>SUMIF('Kreise_2015'!$C$2:$C$403,A66,'Kreise_2015'!$F$2:$F$403)</x:f>
        <x:v>109360</x:v>
      </x:c>
      <x:c r="E66" s="8" t="n">
        <x:f>SUMIF('Kreise_2015'!$C$2:$C$403,A66,'Kreise_2015'!$G$2:$G$403)/D66</x:f>
        <x:v>2872.8676721684697</x:v>
      </x:c>
      <x:c r="F66" s="2" t="n">
        <x:v>2015</x:v>
      </x:c>
      <x:c r="G66" s="9" t="n">
        <x:f>SUMIF('Kreise_2015'!$C$2:$C$403,A66,'Kreise_2015'!$H$2:$H$403)</x:f>
        <x:v>1</x:v>
      </x:c>
    </x:row>
    <x:row r="67" ht="24" customHeight="1">
      <x:c r="A67" s="2" t="n">
        <x:v>67</x:v>
      </x:c>
      <x:c r="B67" s="2" t="str">
        <x:v>Bielefeld</x:v>
      </x:c>
      <x:c r="C67" s="7" t="n">
        <x:f>COUNTIF('Kreise_2015'!$C$2:$C$403,A67)</x:f>
        <x:v>2</x:v>
      </x:c>
      <x:c r="D67" s="7" t="n">
        <x:f>SUMIF('Kreise_2015'!$C$2:$C$403,A67,'Kreise_2015'!$F$2:$F$403)</x:f>
        <x:v>168358</x:v>
      </x:c>
      <x:c r="E67" s="8" t="n">
        <x:f>SUMIF('Kreise_2015'!$C$2:$C$403,A67,'Kreise_2015'!$G$2:$G$403)/D67</x:f>
        <x:v>3095.152122717642</x:v>
      </x:c>
      <x:c r="F67" s="2" t="n">
        <x:v>2015</x:v>
      </x:c>
      <x:c r="G67" s="9" t="n">
        <x:f>SUMIF('Kreise_2015'!$C$2:$C$403,A67,'Kreise_2015'!$H$2:$H$403)</x:f>
        <x:v>1</x:v>
      </x:c>
    </x:row>
    <x:row r="68" ht="24" customHeight="1">
      <x:c r="A68" s="2" t="n">
        <x:v>68</x:v>
      </x:c>
      <x:c r="B68" s="2" t="str">
        <x:v>Gütersloh</x:v>
      </x:c>
      <x:c r="C68" s="7" t="n">
        <x:f>COUNTIF('Kreise_2015'!$C$2:$C$403,A68)</x:f>
        <x:v>1</x:v>
      </x:c>
      <x:c r="D68" s="7" t="n">
        <x:f>SUMIF('Kreise_2015'!$C$2:$C$403,A68,'Kreise_2015'!$F$2:$F$403)</x:f>
        <x:v>128342</x:v>
      </x:c>
      <x:c r="E68" s="8" t="n">
        <x:f>SUMIF('Kreise_2015'!$C$2:$C$403,A68,'Kreise_2015'!$G$2:$G$403)/D68</x:f>
        <x:v>3069.289534215066</x:v>
      </x:c>
      <x:c r="F68" s="2" t="n">
        <x:v>2015</x:v>
      </x:c>
      <x:c r="G68" s="9" t="n">
        <x:f>SUMIF('Kreise_2015'!$C$2:$C$403,A68,'Kreise_2015'!$H$2:$H$403)</x:f>
        <x:v>1</x:v>
      </x:c>
    </x:row>
    <x:row r="69" ht="24" customHeight="1">
      <x:c r="A69" s="2" t="n">
        <x:v>69</x:v>
      </x:c>
      <x:c r="B69" s="2" t="str">
        <x:v>Detmold</x:v>
      </x:c>
      <x:c r="C69" s="7" t="n">
        <x:f>COUNTIF('Kreise_2015'!$C$2:$C$403,A69)</x:f>
        <x:v>1</x:v>
      </x:c>
      <x:c r="D69" s="7" t="n">
        <x:f>SUMIF('Kreise_2015'!$C$2:$C$403,A69,'Kreise_2015'!$F$2:$F$403)</x:f>
        <x:v>78608</x:v>
      </x:c>
      <x:c r="E69" s="8" t="n">
        <x:f>SUMIF('Kreise_2015'!$C$2:$C$403,A69,'Kreise_2015'!$G$2:$G$403)/D69</x:f>
        <x:v>3054.8365307753797</x:v>
      </x:c>
      <x:c r="F69" s="2" t="n">
        <x:v>2015</x:v>
      </x:c>
      <x:c r="G69" s="9" t="n">
        <x:f>SUMIF('Kreise_2015'!$C$2:$C$403,A69,'Kreise_2015'!$H$2:$H$403)</x:f>
        <x:v>1</x:v>
      </x:c>
    </x:row>
    <x:row r="70" ht="24" customHeight="1">
      <x:c r="A70" s="2" t="n">
        <x:v>70</x:v>
      </x:c>
      <x:c r="B70" s="2" t="str">
        <x:v>Minden</x:v>
      </x:c>
      <x:c r="C70" s="7" t="n">
        <x:f>COUNTIF('Kreise_2015'!$C$2:$C$403,A70)</x:f>
        <x:v>1</x:v>
      </x:c>
      <x:c r="D70" s="7" t="n">
        <x:f>SUMIF('Kreise_2015'!$C$2:$C$403,A70,'Kreise_2015'!$F$2:$F$403)</x:f>
        <x:v>90469</x:v>
      </x:c>
      <x:c r="E70" s="8" t="n">
        <x:f>SUMIF('Kreise_2015'!$C$2:$C$403,A70,'Kreise_2015'!$G$2:$G$403)/D70</x:f>
        <x:v>2965.6809210526317</x:v>
      </x:c>
      <x:c r="F70" s="2" t="n">
        <x:v>2015</x:v>
      </x:c>
      <x:c r="G70" s="9" t="n">
        <x:f>SUMIF('Kreise_2015'!$C$2:$C$403,A70,'Kreise_2015'!$H$2:$H$403)</x:f>
        <x:v>1</x:v>
      </x:c>
    </x:row>
    <x:row r="71" ht="24" customHeight="1">
      <x:c r="A71" s="2" t="n">
        <x:v>71</x:v>
      </x:c>
      <x:c r="B71" s="2" t="str">
        <x:v>Paderborn</x:v>
      </x:c>
      <x:c r="C71" s="7" t="n">
        <x:f>COUNTIF('Kreise_2015'!$C$2:$C$403,A71)</x:f>
        <x:v>1</x:v>
      </x:c>
      <x:c r="D71" s="7" t="n">
        <x:f>SUMIF('Kreise_2015'!$C$2:$C$403,A71,'Kreise_2015'!$F$2:$F$403)</x:f>
        <x:v>83209</x:v>
      </x:c>
      <x:c r="E71" s="8" t="n">
        <x:f>SUMIF('Kreise_2015'!$C$2:$C$403,A71,'Kreise_2015'!$G$2:$G$403)/D71</x:f>
        <x:v>2974.3992379339543</x:v>
      </x:c>
      <x:c r="F71" s="2" t="n">
        <x:v>2015</x:v>
      </x:c>
      <x:c r="G71" s="9" t="n">
        <x:f>SUMIF('Kreise_2015'!$C$2:$C$403,A71,'Kreise_2015'!$H$2:$H$403)</x:f>
        <x:v>1</x:v>
      </x:c>
    </x:row>
    <x:row r="72" ht="24" customHeight="1">
      <x:c r="A72" s="2" t="n">
        <x:v>72</x:v>
      </x:c>
      <x:c r="B72" s="2" t="str">
        <x:v>Bochum</x:v>
      </x:c>
      <x:c r="C72" s="7" t="n">
        <x:f>COUNTIF('Kreise_2015'!$C$2:$C$403,A72)</x:f>
        <x:v>1</x:v>
      </x:c>
      <x:c r="D72" s="7" t="n">
        <x:f>SUMIF('Kreise_2015'!$C$2:$C$403,A72,'Kreise_2015'!$F$2:$F$403)</x:f>
        <x:v>88968</x:v>
      </x:c>
      <x:c r="E72" s="8" t="n">
        <x:f>SUMIF('Kreise_2015'!$C$2:$C$403,A72,'Kreise_2015'!$G$2:$G$403)/D72</x:f>
        <x:v>3171.39552238806</x:v>
      </x:c>
      <x:c r="F72" s="2" t="n">
        <x:v>2015</x:v>
      </x:c>
      <x:c r="G72" s="9" t="n">
        <x:f>SUMIF('Kreise_2015'!$C$2:$C$403,A72,'Kreise_2015'!$H$2:$H$403)</x:f>
        <x:v>1</x:v>
      </x:c>
    </x:row>
    <x:row r="73" ht="24" customHeight="1">
      <x:c r="A73" s="2" t="n">
        <x:v>73</x:v>
      </x:c>
      <x:c r="B73" s="2" t="str">
        <x:v>Dortmund</x:v>
      </x:c>
      <x:c r="C73" s="7" t="n">
        <x:f>COUNTIF('Kreise_2015'!$C$2:$C$403,A73)</x:f>
        <x:v>3</x:v>
      </x:c>
      <x:c r="D73" s="7" t="n">
        <x:f>SUMIF('Kreise_2015'!$C$2:$C$403,A73,'Kreise_2015'!$F$2:$F$403)</x:f>
        <x:v>294440</x:v>
      </x:c>
      <x:c r="E73" s="8" t="n">
        <x:f>SUMIF('Kreise_2015'!$C$2:$C$403,A73,'Kreise_2015'!$G$2:$G$403)/D73</x:f>
        <x:v>3077.966120420071</x:v>
      </x:c>
      <x:c r="F73" s="2" t="n">
        <x:v>2015</x:v>
      </x:c>
      <x:c r="G73" s="9" t="n">
        <x:f>SUMIF('Kreise_2015'!$C$2:$C$403,A73,'Kreise_2015'!$H$2:$H$403)</x:f>
        <x:v>1</x:v>
      </x:c>
    </x:row>
    <x:row r="74" ht="24" customHeight="1">
      <x:c r="A74" s="2" t="n">
        <x:v>74</x:v>
      </x:c>
      <x:c r="B74" s="2" t="str">
        <x:v>Hagen</x:v>
      </x:c>
      <x:c r="C74" s="7" t="n">
        <x:f>COUNTIF('Kreise_2015'!$C$2:$C$403,A74)</x:f>
        <x:v>1</x:v>
      </x:c>
      <x:c r="D74" s="7" t="n">
        <x:f>SUMIF('Kreise_2015'!$C$2:$C$403,A74,'Kreise_2015'!$F$2:$F$403)</x:f>
        <x:v>51170</x:v>
      </x:c>
      <x:c r="E74" s="8" t="n">
        <x:f>SUMIF('Kreise_2015'!$C$2:$C$403,A74,'Kreise_2015'!$G$2:$G$403)/D74</x:f>
        <x:v>3184.3549075391174</x:v>
      </x:c>
      <x:c r="F74" s="2" t="n">
        <x:v>2015</x:v>
      </x:c>
      <x:c r="G74" s="9" t="n">
        <x:f>SUMIF('Kreise_2015'!$C$2:$C$403,A74,'Kreise_2015'!$H$2:$H$403)</x:f>
        <x:v>1</x:v>
      </x:c>
    </x:row>
    <x:row r="75" ht="24" customHeight="1">
      <x:c r="A75" s="2" t="n">
        <x:v>75</x:v>
      </x:c>
      <x:c r="B75" s="2" t="str">
        <x:v>Lüdenscheid</x:v>
      </x:c>
      <x:c r="C75" s="7" t="n">
        <x:f>COUNTIF('Kreise_2015'!$C$2:$C$403,A75)</x:f>
        <x:v>1</x:v>
      </x:c>
      <x:c r="D75" s="7" t="n">
        <x:f>SUMIF('Kreise_2015'!$C$2:$C$403,A75,'Kreise_2015'!$F$2:$F$403)</x:f>
        <x:v>125107</x:v>
      </x:c>
      <x:c r="E75" s="8" t="n">
        <x:f>SUMIF('Kreise_2015'!$C$2:$C$403,A75,'Kreise_2015'!$G$2:$G$403)/D75</x:f>
        <x:v>3188.709843158464</x:v>
      </x:c>
      <x:c r="F75" s="2" t="n">
        <x:v>2015</x:v>
      </x:c>
      <x:c r="G75" s="9" t="n">
        <x:f>SUMIF('Kreise_2015'!$C$2:$C$403,A75,'Kreise_2015'!$H$2:$H$403)</x:f>
        <x:v>1</x:v>
      </x:c>
    </x:row>
    <x:row r="76" ht="24" customHeight="1">
      <x:c r="A76" s="2" t="n">
        <x:v>76</x:v>
      </x:c>
      <x:c r="B76" s="2" t="str">
        <x:v>Meschede</x:v>
      </x:c>
      <x:c r="C76" s="7" t="n">
        <x:f>COUNTIF('Kreise_2015'!$C$2:$C$403,A76)</x:f>
        <x:v>1</x:v>
      </x:c>
      <x:c r="D76" s="7" t="n">
        <x:f>SUMIF('Kreise_2015'!$C$2:$C$403,A76,'Kreise_2015'!$F$2:$F$403)</x:f>
        <x:v>76092</x:v>
      </x:c>
      <x:c r="E76" s="8" t="n">
        <x:f>SUMIF('Kreise_2015'!$C$2:$C$403,A76,'Kreise_2015'!$G$2:$G$403)/D76</x:f>
        <x:v>3063.537634408602</x:v>
      </x:c>
      <x:c r="F76" s="2" t="n">
        <x:v>2015</x:v>
      </x:c>
      <x:c r="G76" s="9" t="n">
        <x:f>SUMIF('Kreise_2015'!$C$2:$C$403,A76,'Kreise_2015'!$H$2:$H$403)</x:f>
        <x:v>1</x:v>
      </x:c>
    </x:row>
    <x:row r="77" ht="24" customHeight="1">
      <x:c r="A77" s="2" t="n">
        <x:v>77</x:v>
      </x:c>
      <x:c r="B77" s="2" t="str">
        <x:v>Siegen</x:v>
      </x:c>
      <x:c r="C77" s="7" t="n">
        <x:f>COUNTIF('Kreise_2015'!$C$2:$C$403,A77)</x:f>
        <x:v>1</x:v>
      </x:c>
      <x:c r="D77" s="7" t="n">
        <x:f>SUMIF('Kreise_2015'!$C$2:$C$403,A77,'Kreise_2015'!$F$2:$F$403)</x:f>
        <x:v>86464</x:v>
      </x:c>
      <x:c r="E77" s="8" t="n">
        <x:f>SUMIF('Kreise_2015'!$C$2:$C$403,A77,'Kreise_2015'!$G$2:$G$403)/D77</x:f>
        <x:v>3304.2429943955162</x:v>
      </x:c>
      <x:c r="F77" s="2" t="n">
        <x:v>2015</x:v>
      </x:c>
      <x:c r="G77" s="9" t="n">
        <x:f>SUMIF('Kreise_2015'!$C$2:$C$403,A77,'Kreise_2015'!$H$2:$H$403)</x:f>
        <x:v>1</x:v>
      </x:c>
    </x:row>
    <x:row r="78" ht="24" customHeight="1">
      <x:c r="A78" s="2" t="n">
        <x:v>78</x:v>
      </x:c>
      <x:c r="B78" s="2" t="str">
        <x:v>Olpe</x:v>
      </x:c>
      <x:c r="C78" s="7" t="n">
        <x:f>COUNTIF('Kreise_2015'!$C$2:$C$403,A78)</x:f>
        <x:v>1</x:v>
      </x:c>
      <x:c r="D78" s="7" t="n">
        <x:f>SUMIF('Kreise_2015'!$C$2:$C$403,A78,'Kreise_2015'!$F$2:$F$403)</x:f>
        <x:v>44337</x:v>
      </x:c>
      <x:c r="E78" s="8" t="n">
        <x:f>SUMIF('Kreise_2015'!$C$2:$C$403,A78,'Kreise_2015'!$G$2:$G$403)/D78</x:f>
        <x:v>3170.461489088575</x:v>
      </x:c>
      <x:c r="F78" s="2" t="n">
        <x:v>2015</x:v>
      </x:c>
      <x:c r="G78" s="9" t="n">
        <x:f>SUMIF('Kreise_2015'!$C$2:$C$403,A78,'Kreise_2015'!$H$2:$H$403)</x:f>
        <x:v>1</x:v>
      </x:c>
    </x:row>
    <x:row r="79" ht="24" customHeight="1">
      <x:c r="A79" s="2" t="n">
        <x:v>79</x:v>
      </x:c>
      <x:c r="B79" s="2" t="str">
        <x:v>Soest</x:v>
      </x:c>
      <x:c r="C79" s="7" t="n">
        <x:f>COUNTIF('Kreise_2015'!$C$2:$C$403,A79)</x:f>
        <x:v>1</x:v>
      </x:c>
      <x:c r="D79" s="7" t="n">
        <x:f>SUMIF('Kreise_2015'!$C$2:$C$403,A79,'Kreise_2015'!$F$2:$F$403)</x:f>
        <x:v>80999</x:v>
      </x:c>
      <x:c r="E79" s="8" t="n">
        <x:f>SUMIF('Kreise_2015'!$C$2:$C$403,A79,'Kreise_2015'!$G$2:$G$403)/D79</x:f>
        <x:v>3043.509581881533</x:v>
      </x:c>
      <x:c r="F79" s="2" t="n">
        <x:v>2015</x:v>
      </x:c>
      <x:c r="G79" s="9" t="n">
        <x:f>SUMIF('Kreise_2015'!$C$2:$C$403,A79,'Kreise_2015'!$H$2:$H$403)</x:f>
        <x:v>1</x:v>
      </x:c>
    </x:row>
    <x:row r="80" ht="24" customHeight="1">
      <x:c r="A80" s="2" t="n">
        <x:v>80</x:v>
      </x:c>
      <x:c r="B80" s="2" t="str">
        <x:v>Korbach</x:v>
      </x:c>
      <x:c r="C80" s="7" t="n">
        <x:f>COUNTIF('Kreise_2015'!$C$2:$C$403,A80)</x:f>
        <x:v>1</x:v>
      </x:c>
      <x:c r="D80" s="7" t="n">
        <x:f>SUMIF('Kreise_2015'!$C$2:$C$403,A80,'Kreise_2015'!$F$2:$F$403)</x:f>
        <x:v>43895</x:v>
      </x:c>
      <x:c r="E80" s="8" t="n">
        <x:f>SUMIF('Kreise_2015'!$C$2:$C$403,A80,'Kreise_2015'!$G$2:$G$403)/D80</x:f>
        <x:v>2940.4093904448105</x:v>
      </x:c>
      <x:c r="F80" s="2" t="n">
        <x:v>2015</x:v>
      </x:c>
      <x:c r="G80" s="9" t="n">
        <x:f>SUMIF('Kreise_2015'!$C$2:$C$403,A80,'Kreise_2015'!$H$2:$H$403)</x:f>
        <x:v>1</x:v>
      </x:c>
    </x:row>
    <x:row r="81" ht="24" customHeight="1">
      <x:c r="A81" s="2" t="n">
        <x:v>81</x:v>
      </x:c>
      <x:c r="B81" s="2" t="str">
        <x:v>Kassel</x:v>
      </x:c>
      <x:c r="C81" s="7" t="n">
        <x:f>COUNTIF('Kreise_2015'!$C$2:$C$403,A81)</x:f>
        <x:v>2</x:v>
      </x:c>
      <x:c r="D81" s="7" t="n">
        <x:f>SUMIF('Kreise_2015'!$C$2:$C$403,A81,'Kreise_2015'!$F$2:$F$403)</x:f>
        <x:v>125418</x:v>
      </x:c>
      <x:c r="E81" s="8" t="n">
        <x:f>SUMIF('Kreise_2015'!$C$2:$C$403,A81,'Kreise_2015'!$G$2:$G$403)/D81</x:f>
        <x:v>3334.9136646893644</x:v>
      </x:c>
      <x:c r="F81" s="2" t="n">
        <x:v>2015</x:v>
      </x:c>
      <x:c r="G81" s="9" t="n">
        <x:f>SUMIF('Kreise_2015'!$C$2:$C$403,A81,'Kreise_2015'!$H$2:$H$403)</x:f>
        <x:v>1</x:v>
      </x:c>
    </x:row>
    <x:row r="82" ht="24" customHeight="1">
      <x:c r="A82" s="2" t="n">
        <x:v>82</x:v>
      </x:c>
      <x:c r="B82" s="2" t="str">
        <x:v>Eschwege</x:v>
      </x:c>
      <x:c r="C82" s="7" t="n">
        <x:f>COUNTIF('Kreise_2015'!$C$2:$C$403,A82)</x:f>
        <x:v>1</x:v>
      </x:c>
      <x:c r="D82" s="7" t="n">
        <x:f>SUMIF('Kreise_2015'!$C$2:$C$403,A82,'Kreise_2015'!$F$2:$F$403)</x:f>
        <x:v>17527</x:v>
      </x:c>
      <x:c r="E82" s="8" t="n">
        <x:f>SUMIF('Kreise_2015'!$C$2:$C$403,A82,'Kreise_2015'!$G$2:$G$403)/D82</x:f>
        <x:v>2731.8207547169814</x:v>
      </x:c>
      <x:c r="F82" s="2" t="n">
        <x:v>2015</x:v>
      </x:c>
      <x:c r="G82" s="9" t="n">
        <x:f>SUMIF('Kreise_2015'!$C$2:$C$403,A82,'Kreise_2015'!$H$2:$H$403)</x:f>
        <x:v>1</x:v>
      </x:c>
    </x:row>
    <x:row r="83" ht="24" customHeight="1">
      <x:c r="A83" s="2" t="n">
        <x:v>83</x:v>
      </x:c>
      <x:c r="B83" s="2" t="str">
        <x:v>Schwalm-Eder</x:v>
      </x:c>
      <x:c r="C83" s="7" t="n">
        <x:f>COUNTIF('Kreise_2015'!$C$2:$C$403,A83)</x:f>
        <x:v>1</x:v>
      </x:c>
      <x:c r="D83" s="7" t="n">
        <x:f>SUMIF('Kreise_2015'!$C$2:$C$403,A83,'Kreise_2015'!$F$2:$F$403)</x:f>
        <x:v>35250</x:v>
      </x:c>
      <x:c r="E83" s="8" t="n">
        <x:f>SUMIF('Kreise_2015'!$C$2:$C$403,A83,'Kreise_2015'!$G$2:$G$403)/D83</x:f>
        <x:v>2906.698347107438</x:v>
      </x:c>
      <x:c r="F83" s="2" t="n">
        <x:v>2015</x:v>
      </x:c>
      <x:c r="G83" s="9" t="n">
        <x:f>SUMIF('Kreise_2015'!$C$2:$C$403,A83,'Kreise_2015'!$H$2:$H$403)</x:f>
        <x:v>1</x:v>
      </x:c>
    </x:row>
    <x:row r="84" ht="24" customHeight="1">
      <x:c r="A84" s="2" t="n">
        <x:v>84</x:v>
      </x:c>
      <x:c r="B84" s="2" t="str">
        <x:v>Hersfeld</x:v>
      </x:c>
      <x:c r="C84" s="7" t="n">
        <x:f>COUNTIF('Kreise_2015'!$C$2:$C$403,A84)</x:f>
        <x:v>1</x:v>
      </x:c>
      <x:c r="D84" s="7" t="n">
        <x:f>SUMIF('Kreise_2015'!$C$2:$C$403,A84,'Kreise_2015'!$F$2:$F$403)</x:f>
        <x:v>34011</x:v>
      </x:c>
      <x:c r="E84" s="8" t="n">
        <x:f>SUMIF('Kreise_2015'!$C$2:$C$403,A84,'Kreise_2015'!$G$2:$G$403)/D84</x:f>
        <x:v>2782.292873051225</x:v>
      </x:c>
      <x:c r="F84" s="2" t="n">
        <x:v>2015</x:v>
      </x:c>
      <x:c r="G84" s="9" t="n">
        <x:f>SUMIF('Kreise_2015'!$C$2:$C$403,A84,'Kreise_2015'!$H$2:$H$403)</x:f>
        <x:v>1</x:v>
      </x:c>
    </x:row>
    <x:row r="85" ht="24" customHeight="1">
      <x:c r="A85" s="2" t="n">
        <x:v>85</x:v>
      </x:c>
      <x:c r="B85" s="2" t="str">
        <x:v>Marburg</x:v>
      </x:c>
      <x:c r="C85" s="7" t="n">
        <x:f>COUNTIF('Kreise_2015'!$C$2:$C$403,A85)</x:f>
        <x:v>1</x:v>
      </x:c>
      <x:c r="D85" s="7" t="n">
        <x:f>SUMIF('Kreise_2015'!$C$2:$C$403,A85,'Kreise_2015'!$F$2:$F$403)</x:f>
        <x:v>60987</x:v>
      </x:c>
      <x:c r="E85" s="8" t="n">
        <x:f>SUMIF('Kreise_2015'!$C$2:$C$403,A85,'Kreise_2015'!$G$2:$G$403)/D85</x:f>
        <x:v>3196.2995951417006</x:v>
      </x:c>
      <x:c r="F85" s="2" t="n">
        <x:v>2015</x:v>
      </x:c>
      <x:c r="G85" s="9" t="n">
        <x:f>SUMIF('Kreise_2015'!$C$2:$C$403,A85,'Kreise_2015'!$H$2:$H$403)</x:f>
        <x:v>1</x:v>
      </x:c>
    </x:row>
    <x:row r="86" ht="24" customHeight="1">
      <x:c r="A86" s="2" t="n">
        <x:v>86</x:v>
      </x:c>
      <x:c r="B86" s="2" t="str">
        <x:v>Lauterbach</x:v>
      </x:c>
      <x:c r="C86" s="7" t="n">
        <x:f>COUNTIF('Kreise_2015'!$C$2:$C$403,A86)</x:f>
        <x:v>1</x:v>
      </x:c>
      <x:c r="D86" s="7" t="n">
        <x:f>SUMIF('Kreise_2015'!$C$2:$C$403,A86,'Kreise_2015'!$F$2:$F$403)</x:f>
        <x:v>21940</x:v>
      </x:c>
      <x:c r="E86" s="8" t="n">
        <x:f>SUMIF('Kreise_2015'!$C$2:$C$403,A86,'Kreise_2015'!$G$2:$G$403)/D86</x:f>
        <x:v>2845.2139303482586</x:v>
      </x:c>
      <x:c r="F86" s="2" t="n">
        <x:v>2015</x:v>
      </x:c>
      <x:c r="G86" s="9" t="n">
        <x:f>SUMIF('Kreise_2015'!$C$2:$C$403,A86,'Kreise_2015'!$H$2:$H$403)</x:f>
        <x:v>1</x:v>
      </x:c>
    </x:row>
    <x:row r="87" ht="24" customHeight="1">
      <x:c r="A87" s="2" t="n">
        <x:v>87</x:v>
      </x:c>
      <x:c r="B87" s="2" t="str">
        <x:v>Fulda</x:v>
      </x:c>
      <x:c r="C87" s="7" t="n">
        <x:f>COUNTIF('Kreise_2015'!$C$2:$C$403,A87)</x:f>
        <x:v>1</x:v>
      </x:c>
      <x:c r="D87" s="7" t="n">
        <x:f>SUMIF('Kreise_2015'!$C$2:$C$403,A87,'Kreise_2015'!$F$2:$F$403)</x:f>
        <x:v>65854</x:v>
      </x:c>
      <x:c r="E87" s="8" t="n">
        <x:f>SUMIF('Kreise_2015'!$C$2:$C$403,A87,'Kreise_2015'!$G$2:$G$403)/D87</x:f>
        <x:v>2827.939024390244</x:v>
      </x:c>
      <x:c r="F87" s="2" t="n">
        <x:v>2015</x:v>
      </x:c>
      <x:c r="G87" s="9" t="n">
        <x:f>SUMIF('Kreise_2015'!$C$2:$C$403,A87,'Kreise_2015'!$H$2:$H$403)</x:f>
        <x:v>1</x:v>
      </x:c>
    </x:row>
    <x:row r="88" ht="24" customHeight="1">
      <x:c r="A88" s="2" t="n">
        <x:v>88</x:v>
      </x:c>
      <x:c r="B88" s="2" t="str">
        <x:v>Wetzlar</x:v>
      </x:c>
      <x:c r="C88" s="7" t="n">
        <x:f>COUNTIF('Kreise_2015'!$C$2:$C$403,A88)</x:f>
        <x:v>1</x:v>
      </x:c>
      <x:c r="D88" s="7" t="n">
        <x:f>SUMIF('Kreise_2015'!$C$2:$C$403,A88,'Kreise_2015'!$F$2:$F$403)</x:f>
        <x:v>68229</x:v>
      </x:c>
      <x:c r="E88" s="8" t="n">
        <x:f>SUMIF('Kreise_2015'!$C$2:$C$403,A88,'Kreise_2015'!$G$2:$G$403)/D88</x:f>
        <x:v>3158.376394052045</x:v>
      </x:c>
      <x:c r="F88" s="2" t="n">
        <x:v>2015</x:v>
      </x:c>
      <x:c r="G88" s="9" t="n">
        <x:f>SUMIF('Kreise_2015'!$C$2:$C$403,A88,'Kreise_2015'!$H$2:$H$403)</x:f>
        <x:v>1</x:v>
      </x:c>
    </x:row>
    <x:row r="89" ht="24" customHeight="1">
      <x:c r="A89" s="2" t="n">
        <x:v>89</x:v>
      </x:c>
      <x:c r="B89" s="2" t="str">
        <x:v>Gießen</x:v>
      </x:c>
      <x:c r="C89" s="7" t="n">
        <x:f>COUNTIF('Kreise_2015'!$C$2:$C$403,A89)</x:f>
        <x:v>1</x:v>
      </x:c>
      <x:c r="D89" s="7" t="n">
        <x:f>SUMIF('Kreise_2015'!$C$2:$C$403,A89,'Kreise_2015'!$F$2:$F$403)</x:f>
        <x:v>62728</x:v>
      </x:c>
      <x:c r="E89" s="8" t="n">
        <x:f>SUMIF('Kreise_2015'!$C$2:$C$403,A89,'Kreise_2015'!$G$2:$G$403)/D89</x:f>
        <x:v>3115.735173824131</x:v>
      </x:c>
      <x:c r="F89" s="2" t="n">
        <x:v>2015</x:v>
      </x:c>
      <x:c r="G89" s="9" t="n">
        <x:f>SUMIF('Kreise_2015'!$C$2:$C$403,A89,'Kreise_2015'!$H$2:$H$403)</x:f>
        <x:v>1</x:v>
      </x:c>
    </x:row>
    <x:row r="90" ht="24" customHeight="1">
      <x:c r="A90" s="2" t="n">
        <x:v>90</x:v>
      </x:c>
      <x:c r="B90" s="2" t="str">
        <x:v>Limburg</x:v>
      </x:c>
      <x:c r="C90" s="7" t="n">
        <x:f>COUNTIF('Kreise_2015'!$C$2:$C$403,A90)</x:f>
        <x:v>1</x:v>
      </x:c>
      <x:c r="D90" s="7" t="n">
        <x:f>SUMIF('Kreise_2015'!$C$2:$C$403,A90,'Kreise_2015'!$F$2:$F$403)</x:f>
        <x:v>35405</x:v>
      </x:c>
      <x:c r="E90" s="8" t="n">
        <x:f>SUMIF('Kreise_2015'!$C$2:$C$403,A90,'Kreise_2015'!$G$2:$G$403)/D90</x:f>
        <x:v>2864.14522417154</x:v>
      </x:c>
      <x:c r="F90" s="2" t="n">
        <x:v>2015</x:v>
      </x:c>
      <x:c r="G90" s="9" t="n">
        <x:f>SUMIF('Kreise_2015'!$C$2:$C$403,A90,'Kreise_2015'!$H$2:$H$403)</x:f>
        <x:v>1</x:v>
      </x:c>
    </x:row>
    <x:row r="91" ht="24" customHeight="1">
      <x:c r="A91" s="2" t="n">
        <x:v>91</x:v>
      </x:c>
      <x:c r="B91" s="2" t="str">
        <x:v>Wiesbaden</x:v>
      </x:c>
      <x:c r="C91" s="7" t="n">
        <x:f>COUNTIF('Kreise_2015'!$C$2:$C$403,A91)</x:f>
        <x:v>2</x:v>
      </x:c>
      <x:c r="D91" s="7" t="n">
        <x:f>SUMIF('Kreise_2015'!$C$2:$C$403,A91,'Kreise_2015'!$F$2:$F$403)</x:f>
        <x:v>123507</x:v>
      </x:c>
      <x:c r="E91" s="8" t="n">
        <x:f>SUMIF('Kreise_2015'!$C$2:$C$403,A91,'Kreise_2015'!$G$2:$G$403)/D91</x:f>
        <x:v>3496.643029309926</x:v>
      </x:c>
      <x:c r="F91" s="2" t="n">
        <x:v>2015</x:v>
      </x:c>
      <x:c r="G91" s="9" t="n">
        <x:f>SUMIF('Kreise_2015'!$C$2:$C$403,A91,'Kreise_2015'!$H$2:$H$403)</x:f>
        <x:v>1</x:v>
      </x:c>
    </x:row>
    <x:row r="92" ht="24" customHeight="1">
      <x:c r="A92" s="2" t="n">
        <x:v>92</x:v>
      </x:c>
      <x:c r="B92" s="2" t="str">
        <x:v>Frankfurt/Main</x:v>
      </x:c>
      <x:c r="C92" s="7" t="n">
        <x:f>COUNTIF('Kreise_2015'!$C$2:$C$403,A92)</x:f>
        <x:v>7</x:v>
      </x:c>
      <x:c r="D92" s="7" t="n">
        <x:f>SUMIF('Kreise_2015'!$C$2:$C$403,A92,'Kreise_2015'!$F$2:$F$403)</x:f>
        <x:v>798532</x:v>
      </x:c>
      <x:c r="E92" s="8" t="n">
        <x:f>SUMIF('Kreise_2015'!$C$2:$C$403,A92,'Kreise_2015'!$G$2:$G$403)/D92</x:f>
        <x:v>3793.17019193938</x:v>
      </x:c>
      <x:c r="F92" s="2" t="n">
        <x:v>2015</x:v>
      </x:c>
      <x:c r="G92" s="9" t="n">
        <x:f>SUMIF('Kreise_2015'!$C$2:$C$403,A92,'Kreise_2015'!$H$2:$H$403)</x:f>
        <x:v>1</x:v>
      </x:c>
    </x:row>
    <x:row r="93" ht="24" customHeight="1">
      <x:c r="A93" s="2" t="n">
        <x:v>93</x:v>
      </x:c>
      <x:c r="B93" s="2" t="str">
        <x:v>Hanau</x:v>
      </x:c>
      <x:c r="C93" s="7" t="n">
        <x:f>COUNTIF('Kreise_2015'!$C$2:$C$403,A93)</x:f>
        <x:v>1</x:v>
      </x:c>
      <x:c r="D93" s="7" t="n">
        <x:f>SUMIF('Kreise_2015'!$C$2:$C$403,A93,'Kreise_2015'!$F$2:$F$403)</x:f>
        <x:v>91938</x:v>
      </x:c>
      <x:c r="E93" s="8" t="n">
        <x:f>SUMIF('Kreise_2015'!$C$2:$C$403,A93,'Kreise_2015'!$G$2:$G$403)/D93</x:f>
        <x:v>3044.869715603382</x:v>
      </x:c>
      <x:c r="F93" s="2" t="n">
        <x:v>2015</x:v>
      </x:c>
      <x:c r="G93" s="9" t="n">
        <x:f>SUMIF('Kreise_2015'!$C$2:$C$403,A93,'Kreise_2015'!$H$2:$H$403)</x:f>
        <x:v>1</x:v>
      </x:c>
    </x:row>
    <x:row r="94" ht="24" customHeight="1">
      <x:c r="A94" s="2" t="n">
        <x:v>94</x:v>
      </x:c>
      <x:c r="B94" s="2" t="str">
        <x:v>Darmstadt</x:v>
      </x:c>
      <x:c r="C94" s="7" t="n">
        <x:f>COUNTIF('Kreise_2015'!$C$2:$C$403,A94)</x:f>
        <x:v>2</x:v>
      </x:c>
      <x:c r="D94" s="7" t="n">
        <x:f>SUMIF('Kreise_2015'!$C$2:$C$403,A94,'Kreise_2015'!$F$2:$F$403)</x:f>
        <x:v>120539</x:v>
      </x:c>
      <x:c r="E94" s="8" t="n">
        <x:f>SUMIF('Kreise_2015'!$C$2:$C$403,A94,'Kreise_2015'!$G$2:$G$403)/D94</x:f>
        <x:v>3580.3813647330276</x:v>
      </x:c>
      <x:c r="F94" s="2" t="n">
        <x:v>2015</x:v>
      </x:c>
      <x:c r="G94" s="9" t="n">
        <x:f>SUMIF('Kreise_2015'!$C$2:$C$403,A94,'Kreise_2015'!$H$2:$H$403)</x:f>
        <x:v>1</x:v>
      </x:c>
    </x:row>
    <x:row r="95" ht="24" customHeight="1">
      <x:c r="A95" s="2" t="n">
        <x:v>95</x:v>
      </x:c>
      <x:c r="B95" s="2" t="str">
        <x:v>Erbach</x:v>
      </x:c>
      <x:c r="C95" s="7" t="n">
        <x:f>COUNTIF('Kreise_2015'!$C$2:$C$403,A95)</x:f>
        <x:v>1</x:v>
      </x:c>
      <x:c r="D95" s="7" t="n">
        <x:f>SUMIF('Kreise_2015'!$C$2:$C$403,A95,'Kreise_2015'!$F$2:$F$403)</x:f>
        <x:v>19087</x:v>
      </x:c>
      <x:c r="E95" s="8" t="n">
        <x:f>SUMIF('Kreise_2015'!$C$2:$C$403,A95,'Kreise_2015'!$G$2:$G$403)/D95</x:f>
        <x:v>2844.224696356275</x:v>
      </x:c>
      <x:c r="F95" s="2" t="n">
        <x:v>2015</x:v>
      </x:c>
      <x:c r="G95" s="9" t="n">
        <x:f>SUMIF('Kreise_2015'!$C$2:$C$403,A95,'Kreise_2015'!$H$2:$H$403)</x:f>
        <x:v>1</x:v>
      </x:c>
    </x:row>
    <x:row r="96" ht="24" customHeight="1">
      <x:c r="A96" s="2" t="n">
        <x:v>96</x:v>
      </x:c>
      <x:c r="B96" s="2" t="str">
        <x:v>Altenkirchen</x:v>
      </x:c>
      <x:c r="C96" s="7" t="n">
        <x:f>COUNTIF('Kreise_2015'!$C$2:$C$403,A96)</x:f>
        <x:v>1</x:v>
      </x:c>
      <x:c r="D96" s="7" t="n">
        <x:f>SUMIF('Kreise_2015'!$C$2:$C$403,A96,'Kreise_2015'!$F$2:$F$403)</x:f>
        <x:v>27152</x:v>
      </x:c>
      <x:c r="E96" s="8" t="n">
        <x:f>SUMIF('Kreise_2015'!$C$2:$C$403,A96,'Kreise_2015'!$G$2:$G$403)/D96</x:f>
        <x:v>2918.4515418502197</x:v>
      </x:c>
      <x:c r="F96" s="2" t="n">
        <x:v>2015</x:v>
      </x:c>
      <x:c r="G96" s="9" t="n">
        <x:f>SUMIF('Kreise_2015'!$C$2:$C$403,A96,'Kreise_2015'!$H$2:$H$403)</x:f>
        <x:v>1</x:v>
      </x:c>
    </x:row>
    <x:row r="97" ht="24" customHeight="1">
      <x:c r="A97" s="2" t="n">
        <x:v>97</x:v>
      </x:c>
      <x:c r="B97" s="2" t="str">
        <x:v>Montabaur</x:v>
      </x:c>
      <x:c r="C97" s="7" t="n">
        <x:f>COUNTIF('Kreise_2015'!$C$2:$C$403,A97)</x:f>
        <x:v>1</x:v>
      </x:c>
      <x:c r="D97" s="7" t="n">
        <x:f>SUMIF('Kreise_2015'!$C$2:$C$403,A97,'Kreise_2015'!$F$2:$F$403)</x:f>
        <x:v>48754</x:v>
      </x:c>
      <x:c r="E97" s="8" t="n">
        <x:f>SUMIF('Kreise_2015'!$C$2:$C$403,A97,'Kreise_2015'!$G$2:$G$403)/D97</x:f>
        <x:v>2853.614285714286</x:v>
      </x:c>
      <x:c r="F97" s="2" t="n">
        <x:v>2015</x:v>
      </x:c>
      <x:c r="G97" s="9" t="n">
        <x:f>SUMIF('Kreise_2015'!$C$2:$C$403,A97,'Kreise_2015'!$H$2:$H$403)</x:f>
        <x:v>1</x:v>
      </x:c>
    </x:row>
    <x:row r="98" ht="24" customHeight="1">
      <x:c r="A98" s="2" t="n">
        <x:v>98</x:v>
      </x:c>
      <x:c r="B98" s="2" t="str">
        <x:v>Neuwied</x:v>
      </x:c>
      <x:c r="C98" s="7" t="n">
        <x:f>COUNTIF('Kreise_2015'!$C$2:$C$403,A98)</x:f>
        <x:v>1</x:v>
      </x:c>
      <x:c r="D98" s="7" t="n">
        <x:f>SUMIF('Kreise_2015'!$C$2:$C$403,A98,'Kreise_2015'!$F$2:$F$403)</x:f>
        <x:v>42184</x:v>
      </x:c>
      <x:c r="E98" s="8" t="n">
        <x:f>SUMIF('Kreise_2015'!$C$2:$C$403,A98,'Kreise_2015'!$G$2:$G$403)/D98</x:f>
        <x:v>2978.163622526636</x:v>
      </x:c>
      <x:c r="F98" s="2" t="n">
        <x:v>2015</x:v>
      </x:c>
      <x:c r="G98" s="9" t="n">
        <x:f>SUMIF('Kreise_2015'!$C$2:$C$403,A98,'Kreise_2015'!$H$2:$H$403)</x:f>
        <x:v>1</x:v>
      </x:c>
    </x:row>
    <x:row r="99" ht="24" customHeight="1">
      <x:c r="A99" s="2" t="n">
        <x:v>99</x:v>
      </x:c>
      <x:c r="B99" s="2" t="str">
        <x:v>Ahrweiler</x:v>
      </x:c>
      <x:c r="C99" s="7" t="n">
        <x:f>COUNTIF('Kreise_2015'!$C$2:$C$403,A99)</x:f>
        <x:v>1</x:v>
      </x:c>
      <x:c r="D99" s="7" t="n">
        <x:f>SUMIF('Kreise_2015'!$C$2:$C$403,A99,'Kreise_2015'!$F$2:$F$403)</x:f>
        <x:v>22995</x:v>
      </x:c>
      <x:c r="E99" s="8" t="n">
        <x:f>SUMIF('Kreise_2015'!$C$2:$C$403,A99,'Kreise_2015'!$G$2:$G$403)/D99</x:f>
        <x:v>2813.8211678832117</x:v>
      </x:c>
      <x:c r="F99" s="2" t="n">
        <x:v>2015</x:v>
      </x:c>
      <x:c r="G99" s="9" t="n">
        <x:f>SUMIF('Kreise_2015'!$C$2:$C$403,A99,'Kreise_2015'!$H$2:$H$403)</x:f>
        <x:v>1</x:v>
      </x:c>
    </x:row>
    <x:row r="100" ht="24" customHeight="1">
      <x:c r="A100" s="2" t="n">
        <x:v>100</x:v>
      </x:c>
      <x:c r="B100" s="2" t="str">
        <x:v>Koblenz</x:v>
      </x:c>
      <x:c r="C100" s="7" t="n">
        <x:f>COUNTIF('Kreise_2015'!$C$2:$C$403,A100)</x:f>
        <x:v>3</x:v>
      </x:c>
      <x:c r="D100" s="7" t="n">
        <x:f>SUMIF('Kreise_2015'!$C$2:$C$403,A100,'Kreise_2015'!$F$2:$F$403)</x:f>
        <x:v>122296</x:v>
      </x:c>
      <x:c r="E100" s="8" t="n">
        <x:f>SUMIF('Kreise_2015'!$C$2:$C$403,A100,'Kreise_2015'!$G$2:$G$403)/D100</x:f>
        <x:v>3027.2616053233646</x:v>
      </x:c>
      <x:c r="F100" s="2" t="n">
        <x:v>2015</x:v>
      </x:c>
      <x:c r="G100" s="9" t="n">
        <x:f>SUMIF('Kreise_2015'!$C$2:$C$403,A100,'Kreise_2015'!$H$2:$H$403)</x:f>
        <x:v>1</x:v>
      </x:c>
    </x:row>
    <x:row r="101" ht="24" customHeight="1">
      <x:c r="A101" s="2" t="n">
        <x:v>101</x:v>
      </x:c>
      <x:c r="B101" s="2" t="str">
        <x:v>Bad Kreuznach</x:v>
      </x:c>
      <x:c r="C101" s="7" t="n">
        <x:f>COUNTIF('Kreise_2015'!$C$2:$C$403,A101)</x:f>
        <x:v>1</x:v>
      </x:c>
      <x:c r="D101" s="7" t="n">
        <x:f>SUMIF('Kreise_2015'!$C$2:$C$403,A101,'Kreise_2015'!$F$2:$F$403)</x:f>
        <x:v>36287</x:v>
      </x:c>
      <x:c r="E101" s="8" t="n">
        <x:f>SUMIF('Kreise_2015'!$C$2:$C$403,A101,'Kreise_2015'!$G$2:$G$403)/D101</x:f>
        <x:v>2998.55</x:v>
      </x:c>
      <x:c r="F101" s="2" t="n">
        <x:v>2015</x:v>
      </x:c>
      <x:c r="G101" s="9" t="n">
        <x:f>SUMIF('Kreise_2015'!$C$2:$C$403,A101,'Kreise_2015'!$H$2:$H$403)</x:f>
        <x:v>1</x:v>
      </x:c>
    </x:row>
    <x:row r="102" ht="24" customHeight="1">
      <x:c r="A102" s="2" t="n">
        <x:v>102</x:v>
      </x:c>
      <x:c r="B102" s="2" t="str">
        <x:v>Idar-Oberstein</x:v>
      </x:c>
      <x:c r="C102" s="7" t="n">
        <x:f>COUNTIF('Kreise_2015'!$C$2:$C$403,A102)</x:f>
        <x:v>1</x:v>
      </x:c>
      <x:c r="D102" s="7" t="n">
        <x:f>SUMIF('Kreise_2015'!$C$2:$C$403,A102,'Kreise_2015'!$F$2:$F$403)</x:f>
        <x:v>18723</x:v>
      </x:c>
      <x:c r="E102" s="8" t="n">
        <x:f>SUMIF('Kreise_2015'!$C$2:$C$403,A102,'Kreise_2015'!$G$2:$G$403)/D102</x:f>
        <x:v>2762.1438356164385</x:v>
      </x:c>
      <x:c r="F102" s="2" t="n">
        <x:v>2015</x:v>
      </x:c>
      <x:c r="G102" s="9" t="n">
        <x:f>SUMIF('Kreise_2015'!$C$2:$C$403,A102,'Kreise_2015'!$H$2:$H$403)</x:f>
        <x:v>1</x:v>
      </x:c>
    </x:row>
    <x:row r="103" ht="24" customHeight="1">
      <x:c r="A103" s="2" t="n">
        <x:v>103</x:v>
      </x:c>
      <x:c r="B103" s="2" t="str">
        <x:v>Cochem</x:v>
      </x:c>
      <x:c r="C103" s="7" t="n">
        <x:f>COUNTIF('Kreise_2015'!$C$2:$C$403,A103)</x:f>
        <x:v>1</x:v>
      </x:c>
      <x:c r="D103" s="7" t="n">
        <x:f>SUMIF('Kreise_2015'!$C$2:$C$403,A103,'Kreise_2015'!$F$2:$F$403)</x:f>
        <x:v>11723</x:v>
      </x:c>
      <x:c r="E103" s="8" t="n">
        <x:f>SUMIF('Kreise_2015'!$C$2:$C$403,A103,'Kreise_2015'!$G$2:$G$403)/D103</x:f>
        <x:v>2762.1161616161617</x:v>
      </x:c>
      <x:c r="F103" s="2" t="n">
        <x:v>2015</x:v>
      </x:c>
      <x:c r="G103" s="9" t="n">
        <x:f>SUMIF('Kreise_2015'!$C$2:$C$403,A103,'Kreise_2015'!$H$2:$H$403)</x:f>
        <x:v>1</x:v>
      </x:c>
    </x:row>
    <x:row r="104" ht="24" customHeight="1">
      <x:c r="A104" s="2" t="n">
        <x:v>104</x:v>
      </x:c>
      <x:c r="B104" s="2" t="str">
        <x:v>Simmern</x:v>
      </x:c>
      <x:c r="C104" s="7" t="n">
        <x:f>COUNTIF('Kreise_2015'!$C$2:$C$403,A104)</x:f>
        <x:v>1</x:v>
      </x:c>
      <x:c r="D104" s="7" t="n">
        <x:f>SUMIF('Kreise_2015'!$C$2:$C$403,A104,'Kreise_2015'!$F$2:$F$403)</x:f>
        <x:v>25751</x:v>
      </x:c>
      <x:c r="E104" s="8" t="n">
        <x:f>SUMIF('Kreise_2015'!$C$2:$C$403,A104,'Kreise_2015'!$G$2:$G$403)/D104</x:f>
        <x:v>2871.391364902507</x:v>
      </x:c>
      <x:c r="F104" s="2" t="n">
        <x:v>2015</x:v>
      </x:c>
      <x:c r="G104" s="9" t="n">
        <x:f>SUMIF('Kreise_2015'!$C$2:$C$403,A104,'Kreise_2015'!$H$2:$H$403)</x:f>
        <x:v>1</x:v>
      </x:c>
    </x:row>
    <x:row r="105" ht="24" customHeight="1">
      <x:c r="A105" s="2" t="n">
        <x:v>105</x:v>
      </x:c>
      <x:c r="B105" s="2" t="str">
        <x:v>Trier</x:v>
      </x:c>
      <x:c r="C105" s="7" t="n">
        <x:f>COUNTIF('Kreise_2015'!$C$2:$C$403,A105)</x:f>
        <x:v>2</x:v>
      </x:c>
      <x:c r="D105" s="7" t="n">
        <x:f>SUMIF('Kreise_2015'!$C$2:$C$403,A105,'Kreise_2015'!$F$2:$F$403)</x:f>
        <x:v>59011</x:v>
      </x:c>
      <x:c r="E105" s="8" t="n">
        <x:f>SUMIF('Kreise_2015'!$C$2:$C$403,A105,'Kreise_2015'!$G$2:$G$403)/D105</x:f>
        <x:v>2953.4730349451647</x:v>
      </x:c>
      <x:c r="F105" s="2" t="n">
        <x:v>2015</x:v>
      </x:c>
      <x:c r="G105" s="9" t="n">
        <x:f>SUMIF('Kreise_2015'!$C$2:$C$403,A105,'Kreise_2015'!$H$2:$H$403)</x:f>
        <x:v>1</x:v>
      </x:c>
    </x:row>
    <x:row r="106" ht="24" customHeight="1">
      <x:c r="A106" s="2" t="n">
        <x:v>106</x:v>
      </x:c>
      <x:c r="B106" s="2" t="str">
        <x:v>Bernkastel-Wittlich</x:v>
      </x:c>
      <x:c r="C106" s="7" t="n">
        <x:f>COUNTIF('Kreise_2015'!$C$2:$C$403,A106)</x:f>
        <x:v>1</x:v>
      </x:c>
      <x:c r="D106" s="7" t="n">
        <x:f>SUMIF('Kreise_2015'!$C$2:$C$403,A106,'Kreise_2015'!$F$2:$F$403)</x:f>
        <x:v>28264</x:v>
      </x:c>
      <x:c r="E106" s="8" t="n">
        <x:f>SUMIF('Kreise_2015'!$C$2:$C$403,A106,'Kreise_2015'!$G$2:$G$403)/D106</x:f>
        <x:v>2808.965346534654</x:v>
      </x:c>
      <x:c r="F106" s="2" t="n">
        <x:v>2015</x:v>
      </x:c>
      <x:c r="G106" s="9" t="n">
        <x:f>SUMIF('Kreise_2015'!$C$2:$C$403,A106,'Kreise_2015'!$H$2:$H$403)</x:f>
        <x:v>1</x:v>
      </x:c>
    </x:row>
    <x:row r="107" ht="24" customHeight="1">
      <x:c r="A107" s="2" t="n">
        <x:v>107</x:v>
      </x:c>
      <x:c r="B107" s="2" t="str">
        <x:v>Daun</x:v>
      </x:c>
      <x:c r="C107" s="7" t="n">
        <x:f>COUNTIF('Kreise_2015'!$C$2:$C$403,A107)</x:f>
        <x:v>1</x:v>
      </x:c>
      <x:c r="D107" s="7" t="n">
        <x:f>SUMIF('Kreise_2015'!$C$2:$C$403,A107,'Kreise_2015'!$F$2:$F$403)</x:f>
        <x:v>14214</x:v>
      </x:c>
      <x:c r="E107" s="8" t="n">
        <x:f>SUMIF('Kreise_2015'!$C$2:$C$403,A107,'Kreise_2015'!$G$2:$G$403)/D107</x:f>
        <x:v>2795.3581560283687</x:v>
      </x:c>
      <x:c r="F107" s="2" t="n">
        <x:v>2015</x:v>
      </x:c>
      <x:c r="G107" s="9" t="n">
        <x:f>SUMIF('Kreise_2015'!$C$2:$C$403,A107,'Kreise_2015'!$H$2:$H$403)</x:f>
        <x:v>1</x:v>
      </x:c>
    </x:row>
    <x:row r="108" ht="24" customHeight="1">
      <x:c r="A108" s="2" t="n">
        <x:v>108</x:v>
      </x:c>
      <x:c r="B108" s="2" t="str">
        <x:v>Bitburg</x:v>
      </x:c>
      <x:c r="C108" s="7" t="n">
        <x:f>COUNTIF('Kreise_2015'!$C$2:$C$403,A108)</x:f>
        <x:v>1</x:v>
      </x:c>
      <x:c r="D108" s="7" t="n">
        <x:f>SUMIF('Kreise_2015'!$C$2:$C$403,A108,'Kreise_2015'!$F$2:$F$403)</x:f>
        <x:v>20425</x:v>
      </x:c>
      <x:c r="E108" s="8" t="n">
        <x:f>SUMIF('Kreise_2015'!$C$2:$C$403,A108,'Kreise_2015'!$G$2:$G$403)/D108</x:f>
        <x:v>2968.0409836065573</x:v>
      </x:c>
      <x:c r="F108" s="2" t="n">
        <x:v>2015</x:v>
      </x:c>
      <x:c r="G108" s="9" t="n">
        <x:f>SUMIF('Kreise_2015'!$C$2:$C$403,A108,'Kreise_2015'!$H$2:$H$403)</x:f>
        <x:v>1</x:v>
      </x:c>
    </x:row>
    <x:row r="109" ht="24" customHeight="1">
      <x:c r="A109" s="2" t="n">
        <x:v>109</x:v>
      </x:c>
      <x:c r="B109" s="2" t="str">
        <x:v>Kaiserslautern</x:v>
      </x:c>
      <x:c r="C109" s="7" t="n">
        <x:f>COUNTIF('Kreise_2015'!$C$2:$C$403,A109)</x:f>
        <x:v>4</x:v>
      </x:c>
      <x:c r="D109" s="7" t="n">
        <x:f>SUMIF('Kreise_2015'!$C$2:$C$403,A109,'Kreise_2015'!$F$2:$F$403)</x:f>
        <x:v>77902</x:v>
      </x:c>
      <x:c r="E109" s="8" t="n">
        <x:f>SUMIF('Kreise_2015'!$C$2:$C$403,A109,'Kreise_2015'!$G$2:$G$403)/D109</x:f>
        <x:v>3126.283315228055</x:v>
      </x:c>
      <x:c r="F109" s="2" t="n">
        <x:v>2015</x:v>
      </x:c>
      <x:c r="G109" s="9" t="n">
        <x:f>SUMIF('Kreise_2015'!$C$2:$C$403,A109,'Kreise_2015'!$H$2:$H$403)</x:f>
        <x:v>1</x:v>
      </x:c>
    </x:row>
    <x:row r="110" ht="24" customHeight="1">
      <x:c r="A110" s="2" t="n">
        <x:v>110</x:v>
      </x:c>
      <x:c r="B110" s="2" t="str">
        <x:v>Landau</x:v>
      </x:c>
      <x:c r="C110" s="7" t="n">
        <x:f>COUNTIF('Kreise_2015'!$C$2:$C$403,A110)</x:f>
        <x:v>2</x:v>
      </x:c>
      <x:c r="D110" s="7" t="n">
        <x:f>SUMIF('Kreise_2015'!$C$2:$C$403,A110,'Kreise_2015'!$F$2:$F$403)</x:f>
        <x:v>34684</x:v>
      </x:c>
      <x:c r="E110" s="8" t="n">
        <x:f>SUMIF('Kreise_2015'!$C$2:$C$403,A110,'Kreise_2015'!$G$2:$G$403)/D110</x:f>
        <x:v>2854.91463112825</x:v>
      </x:c>
      <x:c r="F110" s="2" t="n">
        <x:v>2015</x:v>
      </x:c>
      <x:c r="G110" s="9" t="n">
        <x:f>SUMIF('Kreise_2015'!$C$2:$C$403,A110,'Kreise_2015'!$H$2:$H$403)</x:f>
        <x:v>1</x:v>
      </x:c>
    </x:row>
    <x:row r="111" ht="24" customHeight="1">
      <x:c r="A111" s="2" t="n">
        <x:v>111</x:v>
      </x:c>
      <x:c r="B111" s="2" t="str">
        <x:v>Mainz</x:v>
      </x:c>
      <x:c r="C111" s="7" t="n">
        <x:f>COUNTIF('Kreise_2015'!$C$2:$C$403,A111)</x:f>
        <x:v>2</x:v>
      </x:c>
      <x:c r="D111" s="7" t="n">
        <x:f>SUMIF('Kreise_2015'!$C$2:$C$403,A111,'Kreise_2015'!$F$2:$F$403)</x:f>
        <x:v>113461</x:v>
      </x:c>
      <x:c r="E111" s="8" t="n">
        <x:f>SUMIF('Kreise_2015'!$C$2:$C$403,A111,'Kreise_2015'!$G$2:$G$403)/D111</x:f>
        <x:v>3382.3880199640894</x:v>
      </x:c>
      <x:c r="F111" s="2" t="n">
        <x:v>2015</x:v>
      </x:c>
      <x:c r="G111" s="9" t="n">
        <x:f>SUMIF('Kreise_2015'!$C$2:$C$403,A111,'Kreise_2015'!$H$2:$H$403)</x:f>
        <x:v>1</x:v>
      </x:c>
    </x:row>
    <x:row r="112" ht="24" customHeight="1">
      <x:c r="A112" s="2" t="n">
        <x:v>112</x:v>
      </x:c>
      <x:c r="B112" s="2" t="str">
        <x:v>Alzey-Worms</x:v>
      </x:c>
      <x:c r="C112" s="7" t="n">
        <x:f>COUNTIF('Kreise_2015'!$C$2:$C$403,A112)</x:f>
        <x:v>2</x:v>
      </x:c>
      <x:c r="D112" s="7" t="n">
        <x:f>SUMIF('Kreise_2015'!$C$2:$C$403,A112,'Kreise_2015'!$F$2:$F$403)</x:f>
        <x:v>41795</x:v>
      </x:c>
      <x:c r="E112" s="8" t="n">
        <x:f>SUMIF('Kreise_2015'!$C$2:$C$403,A112,'Kreise_2015'!$G$2:$G$403)/D112</x:f>
        <x:v>2910.7193423360527</x:v>
      </x:c>
      <x:c r="F112" s="2" t="n">
        <x:v>2015</x:v>
      </x:c>
      <x:c r="G112" s="9" t="n">
        <x:f>SUMIF('Kreise_2015'!$C$2:$C$403,A112,'Kreise_2015'!$H$2:$H$403)</x:f>
        <x:v>1</x:v>
      </x:c>
    </x:row>
    <x:row r="113" ht="24" customHeight="1">
      <x:c r="A113" s="2" t="n">
        <x:v>113</x:v>
      </x:c>
      <x:c r="B113" s="2" t="str">
        <x:v>Pirmasens</x:v>
      </x:c>
      <x:c r="C113" s="7" t="n">
        <x:f>COUNTIF('Kreise_2015'!$C$2:$C$403,A113)</x:f>
        <x:v>3</x:v>
      </x:c>
      <x:c r="D113" s="7" t="n">
        <x:f>SUMIF('Kreise_2015'!$C$2:$C$403,A113,'Kreise_2015'!$F$2:$F$403)</x:f>
        <x:v>35579</x:v>
      </x:c>
      <x:c r="E113" s="8" t="n">
        <x:f>SUMIF('Kreise_2015'!$C$2:$C$403,A113,'Kreise_2015'!$G$2:$G$403)/D113</x:f>
        <x:v>2923.821505309103</x:v>
      </x:c>
      <x:c r="F113" s="2" t="n">
        <x:v>2015</x:v>
      </x:c>
      <x:c r="G113" s="9" t="n">
        <x:f>SUMIF('Kreise_2015'!$C$2:$C$403,A113,'Kreise_2015'!$H$2:$H$403)</x:f>
        <x:v>1</x:v>
      </x:c>
    </x:row>
    <x:row r="114" ht="24" customHeight="1">
      <x:c r="A114" s="2" t="n">
        <x:v>114</x:v>
      </x:c>
      <x:c r="B114" s="2" t="str">
        <x:v>Ludwigshafen</x:v>
      </x:c>
      <x:c r="C114" s="7" t="n">
        <x:f>COUNTIF('Kreise_2015'!$C$2:$C$403,A114)</x:f>
        <x:v>6</x:v>
      </x:c>
      <x:c r="D114" s="7" t="n">
        <x:f>SUMIF('Kreise_2015'!$C$2:$C$403,A114,'Kreise_2015'!$F$2:$F$403)</x:f>
        <x:v>160819</x:v>
      </x:c>
      <x:c r="E114" s="8" t="n">
        <x:f>SUMIF('Kreise_2015'!$C$2:$C$403,A114,'Kreise_2015'!$G$2:$G$403)/D114</x:f>
        <x:v>3732.774889593241</x:v>
      </x:c>
      <x:c r="F114" s="2" t="n">
        <x:v>2015</x:v>
      </x:c>
      <x:c r="G114" s="9" t="n">
        <x:f>SUMIF('Kreise_2015'!$C$2:$C$403,A114,'Kreise_2015'!$H$2:$H$403)</x:f>
        <x:v>1</x:v>
      </x:c>
    </x:row>
    <x:row r="115" ht="24" customHeight="1">
      <x:c r="A115" s="2" t="n">
        <x:v>115</x:v>
      </x:c>
      <x:c r="B115" s="2" t="str">
        <x:v>Germersheim</x:v>
      </x:c>
      <x:c r="C115" s="7" t="n">
        <x:f>COUNTIF('Kreise_2015'!$C$2:$C$403,A115)</x:f>
        <x:v>1</x:v>
      </x:c>
      <x:c r="D115" s="7" t="n">
        <x:f>SUMIF('Kreise_2015'!$C$2:$C$403,A115,'Kreise_2015'!$F$2:$F$403)</x:f>
        <x:v>32825</x:v>
      </x:c>
      <x:c r="E115" s="8" t="n">
        <x:f>SUMIF('Kreise_2015'!$C$2:$C$403,A115,'Kreise_2015'!$G$2:$G$403)/D115</x:f>
        <x:v>3725.9854368932038</x:v>
      </x:c>
      <x:c r="F115" s="2" t="n">
        <x:v>2015</x:v>
      </x:c>
      <x:c r="G115" s="9" t="n">
        <x:f>SUMIF('Kreise_2015'!$C$2:$C$403,A115,'Kreise_2015'!$H$2:$H$403)</x:f>
        <x:v>1</x:v>
      </x:c>
    </x:row>
    <x:row r="116" ht="24" customHeight="1">
      <x:c r="A116" s="2" t="n">
        <x:v>116</x:v>
      </x:c>
      <x:c r="B116" s="2" t="str">
        <x:v>Merzig</x:v>
      </x:c>
      <x:c r="C116" s="7" t="n">
        <x:f>COUNTIF('Kreise_2015'!$C$2:$C$403,A116)</x:f>
        <x:v>1</x:v>
      </x:c>
      <x:c r="D116" s="7" t="n">
        <x:f>SUMIF('Kreise_2015'!$C$2:$C$403,A116,'Kreise_2015'!$F$2:$F$403)</x:f>
        <x:v>21363</x:v>
      </x:c>
      <x:c r="E116" s="8" t="n">
        <x:f>SUMIF('Kreise_2015'!$C$2:$C$403,A116,'Kreise_2015'!$G$2:$G$403)/D116</x:f>
        <x:v>2876.33135391924</x:v>
      </x:c>
      <x:c r="F116" s="2" t="n">
        <x:v>2015</x:v>
      </x:c>
      <x:c r="G116" s="9" t="n">
        <x:f>SUMIF('Kreise_2015'!$C$2:$C$403,A116,'Kreise_2015'!$H$2:$H$403)</x:f>
        <x:v>1</x:v>
      </x:c>
    </x:row>
    <x:row r="117" ht="24" customHeight="1">
      <x:c r="A117" s="2" t="n">
        <x:v>117</x:v>
      </x:c>
      <x:c r="B117" s="2" t="str">
        <x:v>St. Wendel</x:v>
      </x:c>
      <x:c r="C117" s="7" t="n">
        <x:f>COUNTIF('Kreise_2015'!$C$2:$C$403,A117)</x:f>
        <x:v>1</x:v>
      </x:c>
      <x:c r="D117" s="7" t="n">
        <x:f>SUMIF('Kreise_2015'!$C$2:$C$403,A117,'Kreise_2015'!$F$2:$F$403)</x:f>
        <x:v>18410</x:v>
      </x:c>
      <x:c r="E117" s="8" t="n">
        <x:f>SUMIF('Kreise_2015'!$C$2:$C$403,A117,'Kreise_2015'!$G$2:$G$403)/D117</x:f>
        <x:v>2973.893854748603</x:v>
      </x:c>
      <x:c r="F117" s="2" t="n">
        <x:v>2015</x:v>
      </x:c>
      <x:c r="G117" s="9" t="n">
        <x:f>SUMIF('Kreise_2015'!$C$2:$C$403,A117,'Kreise_2015'!$H$2:$H$403)</x:f>
        <x:v>1</x:v>
      </x:c>
    </x:row>
    <x:row r="118" ht="24" customHeight="1">
      <x:c r="A118" s="2" t="n">
        <x:v>118</x:v>
      </x:c>
      <x:c r="B118" s="2" t="str">
        <x:v>Saarbrücken</x:v>
      </x:c>
      <x:c r="C118" s="7" t="n">
        <x:f>COUNTIF('Kreise_2015'!$C$2:$C$403,A118)</x:f>
        <x:v>3</x:v>
      </x:c>
      <x:c r="D118" s="7" t="n">
        <x:f>SUMIF('Kreise_2015'!$C$2:$C$403,A118,'Kreise_2015'!$F$2:$F$403)</x:f>
        <x:v>193008</x:v>
      </x:c>
      <x:c r="E118" s="8" t="n">
        <x:f>SUMIF('Kreise_2015'!$C$2:$C$403,A118,'Kreise_2015'!$G$2:$G$403)/D118</x:f>
        <x:v>3215.9016108966466</x:v>
      </x:c>
      <x:c r="F118" s="2" t="n">
        <x:v>2015</x:v>
      </x:c>
      <x:c r="G118" s="9" t="n">
        <x:f>SUMIF('Kreise_2015'!$C$2:$C$403,A118,'Kreise_2015'!$H$2:$H$403)</x:f>
        <x:v>1</x:v>
      </x:c>
    </x:row>
    <x:row r="119" ht="24" customHeight="1">
      <x:c r="A119" s="2" t="n">
        <x:v>119</x:v>
      </x:c>
      <x:c r="B119" s="2" t="str">
        <x:v>Homburg/Saar</x:v>
      </x:c>
      <x:c r="C119" s="7" t="n">
        <x:f>COUNTIF('Kreise_2015'!$C$2:$C$403,A119)</x:f>
        <x:v>1</x:v>
      </x:c>
      <x:c r="D119" s="7" t="n">
        <x:f>SUMIF('Kreise_2015'!$C$2:$C$403,A119,'Kreise_2015'!$F$2:$F$403)</x:f>
        <x:v>49844</x:v>
      </x:c>
      <x:c r="E119" s="8" t="n">
        <x:f>SUMIF('Kreise_2015'!$C$2:$C$403,A119,'Kreise_2015'!$G$2:$G$403)/D119</x:f>
        <x:v>3379.1621823617334</x:v>
      </x:c>
      <x:c r="F119" s="2" t="n">
        <x:v>2015</x:v>
      </x:c>
      <x:c r="G119" s="9" t="n">
        <x:f>SUMIF('Kreise_2015'!$C$2:$C$403,A119,'Kreise_2015'!$H$2:$H$403)</x:f>
        <x:v>1</x:v>
      </x:c>
    </x:row>
    <x:row r="120" ht="24" customHeight="1">
      <x:c r="A120" s="2" t="n">
        <x:v>120</x:v>
      </x:c>
      <x:c r="B120" s="2" t="str">
        <x:v>Stuttgart</x:v>
      </x:c>
      <x:c r="C120" s="7" t="n">
        <x:f>COUNTIF('Kreise_2015'!$C$2:$C$403,A120)</x:f>
        <x:v>5</x:v>
      </x:c>
      <x:c r="D120" s="7" t="n">
        <x:f>SUMIF('Kreise_2015'!$C$2:$C$403,A120,'Kreise_2015'!$F$2:$F$403)</x:f>
        <x:v>848812</x:v>
      </x:c>
      <x:c r="E120" s="8" t="n">
        <x:f>SUMIF('Kreise_2015'!$C$2:$C$403,A120,'Kreise_2015'!$G$2:$G$403)/D120</x:f>
        <x:v>3873.8918687863224</x:v>
      </x:c>
      <x:c r="F120" s="2" t="n">
        <x:v>2015</x:v>
      </x:c>
      <x:c r="G120" s="9" t="n">
        <x:f>SUMIF('Kreise_2015'!$C$2:$C$403,A120,'Kreise_2015'!$H$2:$H$403)</x:f>
        <x:v>0.9999999999999999</x:v>
      </x:c>
    </x:row>
    <x:row r="121" ht="24" customHeight="1">
      <x:c r="A121" s="2" t="n">
        <x:v>121</x:v>
      </x:c>
      <x:c r="B121" s="2" t="str">
        <x:v>Göppingen</x:v>
      </x:c>
      <x:c r="C121" s="7" t="n">
        <x:f>COUNTIF('Kreise_2015'!$C$2:$C$403,A121)</x:f>
        <x:v>1</x:v>
      </x:c>
      <x:c r="D121" s="7" t="n">
        <x:f>SUMIF('Kreise_2015'!$C$2:$C$403,A121,'Kreise_2015'!$F$2:$F$403)</x:f>
        <x:v>64937</x:v>
      </x:c>
      <x:c r="E121" s="8" t="n">
        <x:f>SUMIF('Kreise_2015'!$C$2:$C$403,A121,'Kreise_2015'!$G$2:$G$403)/D121</x:f>
        <x:v>3294.568255687974</x:v>
      </x:c>
      <x:c r="F121" s="2" t="n">
        <x:v>2015</x:v>
      </x:c>
      <x:c r="G121" s="9" t="n">
        <x:f>SUMIF('Kreise_2015'!$C$2:$C$403,A121,'Kreise_2015'!$H$2:$H$403)</x:f>
        <x:v>1</x:v>
      </x:c>
    </x:row>
    <x:row r="122" ht="24" customHeight="1">
      <x:c r="A122" s="2" t="n">
        <x:v>122</x:v>
      </x:c>
      <x:c r="B122" s="2" t="str">
        <x:v>Heilbronn</x:v>
      </x:c>
      <x:c r="C122" s="7" t="n">
        <x:f>COUNTIF('Kreise_2015'!$C$2:$C$403,A122)</x:f>
        <x:v>2</x:v>
      </x:c>
      <x:c r="D122" s="7" t="n">
        <x:f>SUMIF('Kreise_2015'!$C$2:$C$403,A122,'Kreise_2015'!$F$2:$F$403)</x:f>
        <x:v>155474</x:v>
      </x:c>
      <x:c r="E122" s="8" t="n">
        <x:f>SUMIF('Kreise_2015'!$C$2:$C$403,A122,'Kreise_2015'!$G$2:$G$403)/D122</x:f>
        <x:v>3468.8960086675684</x:v>
      </x:c>
      <x:c r="F122" s="2" t="n">
        <x:v>2015</x:v>
      </x:c>
      <x:c r="G122" s="9" t="n">
        <x:f>SUMIF('Kreise_2015'!$C$2:$C$403,A122,'Kreise_2015'!$H$2:$H$403)</x:f>
        <x:v>1</x:v>
      </x:c>
    </x:row>
    <x:row r="123" ht="24" customHeight="1">
      <x:c r="A123" s="2" t="n">
        <x:v>123</x:v>
      </x:c>
      <x:c r="B123" s="2" t="str">
        <x:v>Schwäbisch Hall</x:v>
      </x:c>
      <x:c r="C123" s="7" t="n">
        <x:f>COUNTIF('Kreise_2015'!$C$2:$C$403,A123)</x:f>
        <x:v>2</x:v>
      </x:c>
      <x:c r="D123" s="7" t="n">
        <x:f>SUMIF('Kreise_2015'!$C$2:$C$403,A123,'Kreise_2015'!$F$2:$F$403)</x:f>
        <x:v>103615</x:v>
      </x:c>
      <x:c r="E123" s="8" t="n">
        <x:f>SUMIF('Kreise_2015'!$C$2:$C$403,A123,'Kreise_2015'!$G$2:$G$403)/D123</x:f>
        <x:v>3269.322202994531</x:v>
      </x:c>
      <x:c r="F123" s="2" t="n">
        <x:v>2015</x:v>
      </x:c>
      <x:c r="G123" s="9" t="n">
        <x:f>SUMIF('Kreise_2015'!$C$2:$C$403,A123,'Kreise_2015'!$H$2:$H$403)</x:f>
        <x:v>1</x:v>
      </x:c>
    </x:row>
    <x:row r="124" ht="24" customHeight="1">
      <x:c r="A124" s="2" t="n">
        <x:v>124</x:v>
      </x:c>
      <x:c r="B124" s="2" t="str">
        <x:v>Tauberbischofsheim</x:v>
      </x:c>
      <x:c r="C124" s="7" t="n">
        <x:f>COUNTIF('Kreise_2015'!$C$2:$C$403,A124)</x:f>
        <x:v>1</x:v>
      </x:c>
      <x:c r="D124" s="7" t="n">
        <x:f>SUMIF('Kreise_2015'!$C$2:$C$403,A124,'Kreise_2015'!$F$2:$F$403)</x:f>
        <x:v>38994</x:v>
      </x:c>
      <x:c r="E124" s="8" t="n">
        <x:f>SUMIF('Kreise_2015'!$C$2:$C$403,A124,'Kreise_2015'!$G$2:$G$403)/D124</x:f>
        <x:v>3082.751655629139</x:v>
      </x:c>
      <x:c r="F124" s="2" t="n">
        <x:v>2015</x:v>
      </x:c>
      <x:c r="G124" s="9" t="n">
        <x:f>SUMIF('Kreise_2015'!$C$2:$C$403,A124,'Kreise_2015'!$H$2:$H$403)</x:f>
        <x:v>1</x:v>
      </x:c>
    </x:row>
    <x:row r="125" ht="24" customHeight="1">
      <x:c r="A125" s="2" t="n">
        <x:v>125</x:v>
      </x:c>
      <x:c r="B125" s="2" t="str">
        <x:v>Heidenheim</x:v>
      </x:c>
      <x:c r="C125" s="7" t="n">
        <x:f>COUNTIF('Kreise_2015'!$C$2:$C$403,A125)</x:f>
        <x:v>1</x:v>
      </x:c>
      <x:c r="D125" s="7" t="n">
        <x:f>SUMIF('Kreise_2015'!$C$2:$C$403,A125,'Kreise_2015'!$F$2:$F$403)</x:f>
        <x:v>37239</x:v>
      </x:c>
      <x:c r="E125" s="8" t="n">
        <x:f>SUMIF('Kreise_2015'!$C$2:$C$403,A125,'Kreise_2015'!$G$2:$G$403)/D125</x:f>
        <x:v>3467.5382165605097</x:v>
      </x:c>
      <x:c r="F125" s="2" t="n">
        <x:v>2015</x:v>
      </x:c>
      <x:c r="G125" s="9" t="n">
        <x:f>SUMIF('Kreise_2015'!$C$2:$C$403,A125,'Kreise_2015'!$H$2:$H$403)</x:f>
        <x:v>1</x:v>
      </x:c>
    </x:row>
    <x:row r="126" ht="24" customHeight="1">
      <x:c r="A126" s="2" t="n">
        <x:v>126</x:v>
      </x:c>
      <x:c r="B126" s="2" t="str">
        <x:v>Aalen</x:v>
      </x:c>
      <x:c r="C126" s="7" t="n">
        <x:f>COUNTIF('Kreise_2015'!$C$2:$C$403,A126)</x:f>
        <x:v>1</x:v>
      </x:c>
      <x:c r="D126" s="7" t="n">
        <x:f>SUMIF('Kreise_2015'!$C$2:$C$403,A126,'Kreise_2015'!$F$2:$F$403)</x:f>
        <x:v>92350</x:v>
      </x:c>
      <x:c r="E126" s="8" t="n">
        <x:f>SUMIF('Kreise_2015'!$C$2:$C$403,A126,'Kreise_2015'!$G$2:$G$403)/D126</x:f>
        <x:v>3513.2945334590013</x:v>
      </x:c>
      <x:c r="F126" s="2" t="n">
        <x:v>2015</x:v>
      </x:c>
      <x:c r="G126" s="9" t="n">
        <x:f>SUMIF('Kreise_2015'!$C$2:$C$403,A126,'Kreise_2015'!$H$2:$H$403)</x:f>
        <x:v>1</x:v>
      </x:c>
    </x:row>
    <x:row r="127" ht="24" customHeight="1">
      <x:c r="A127" s="2" t="n">
        <x:v>127</x:v>
      </x:c>
      <x:c r="B127" s="2" t="str">
        <x:v>Baden-Baden</x:v>
      </x:c>
      <x:c r="C127" s="7" t="n">
        <x:f>COUNTIF('Kreise_2015'!$C$2:$C$403,A127)</x:f>
        <x:v>2</x:v>
      </x:c>
      <x:c r="D127" s="7" t="n">
        <x:f>SUMIF('Kreise_2015'!$C$2:$C$403,A127,'Kreise_2015'!$F$2:$F$403)</x:f>
        <x:v>90593</x:v>
      </x:c>
      <x:c r="E127" s="8" t="n">
        <x:f>SUMIF('Kreise_2015'!$C$2:$C$403,A127,'Kreise_2015'!$G$2:$G$403)/D127</x:f>
        <x:v>3546.860344031916</x:v>
      </x:c>
      <x:c r="F127" s="2" t="n">
        <x:v>2015</x:v>
      </x:c>
      <x:c r="G127" s="9" t="n">
        <x:f>SUMIF('Kreise_2015'!$C$2:$C$403,A127,'Kreise_2015'!$H$2:$H$403)</x:f>
        <x:v>1</x:v>
      </x:c>
    </x:row>
    <x:row r="128" ht="24" customHeight="1">
      <x:c r="A128" s="2" t="n">
        <x:v>128</x:v>
      </x:c>
      <x:c r="B128" s="2" t="str">
        <x:v>Karlsruhe</x:v>
      </x:c>
      <x:c r="C128" s="7" t="n">
        <x:f>COUNTIF('Kreise_2015'!$C$2:$C$403,A128)</x:f>
        <x:v>2</x:v>
      </x:c>
      <x:c r="D128" s="7" t="n">
        <x:f>SUMIF('Kreise_2015'!$C$2:$C$403,A128,'Kreise_2015'!$F$2:$F$403)</x:f>
        <x:v>237078</x:v>
      </x:c>
      <x:c r="E128" s="8" t="n">
        <x:f>SUMIF('Kreise_2015'!$C$2:$C$403,A128,'Kreise_2015'!$G$2:$G$403)/D128</x:f>
        <x:v>3384.4351172888305</x:v>
      </x:c>
      <x:c r="F128" s="2" t="n">
        <x:v>2015</x:v>
      </x:c>
      <x:c r="G128" s="9" t="n">
        <x:f>SUMIF('Kreise_2015'!$C$2:$C$403,A128,'Kreise_2015'!$H$2:$H$403)</x:f>
        <x:v>1</x:v>
      </x:c>
    </x:row>
    <x:row r="129" ht="24" customHeight="1">
      <x:c r="A129" s="2" t="n">
        <x:v>129</x:v>
      </x:c>
      <x:c r="B129" s="2" t="str">
        <x:v>Heidelberg</x:v>
      </x:c>
      <x:c r="C129" s="7" t="n">
        <x:f>COUNTIF('Kreise_2015'!$C$2:$C$403,A129)</x:f>
        <x:v>2</x:v>
      </x:c>
      <x:c r="D129" s="7" t="n">
        <x:f>SUMIF('Kreise_2015'!$C$2:$C$403,A129,'Kreise_2015'!$F$2:$F$403)</x:f>
        <x:v>180066</x:v>
      </x:c>
      <x:c r="E129" s="8" t="n">
        <x:f>SUMIF('Kreise_2015'!$C$2:$C$403,A129,'Kreise_2015'!$G$2:$G$403)/D129</x:f>
        <x:v>3450.8126991872955</x:v>
      </x:c>
      <x:c r="F129" s="2" t="n">
        <x:v>2015</x:v>
      </x:c>
      <x:c r="G129" s="9" t="n">
        <x:f>SUMIF('Kreise_2015'!$C$2:$C$403,A129,'Kreise_2015'!$H$2:$H$403)</x:f>
        <x:v>1</x:v>
      </x:c>
    </x:row>
    <x:row r="130" ht="24" customHeight="1">
      <x:c r="A130" s="2" t="n">
        <x:v>130</x:v>
      </x:c>
      <x:c r="B130" s="2" t="str">
        <x:v>Mannheim</x:v>
      </x:c>
      <x:c r="C130" s="7" t="n">
        <x:f>COUNTIF('Kreise_2015'!$C$2:$C$403,A130)</x:f>
        <x:v>2</x:v>
      </x:c>
      <x:c r="D130" s="7" t="n">
        <x:f>SUMIF('Kreise_2015'!$C$2:$C$403,A130,'Kreise_2015'!$F$2:$F$403)</x:f>
        <x:v>189821</x:v>
      </x:c>
      <x:c r="E130" s="8" t="n">
        <x:f>SUMIF('Kreise_2015'!$C$2:$C$403,A130,'Kreise_2015'!$G$2:$G$403)/D130</x:f>
        <x:v>3503.9712906264053</x:v>
      </x:c>
      <x:c r="F130" s="2" t="n">
        <x:v>2015</x:v>
      </x:c>
      <x:c r="G130" s="9" t="n">
        <x:f>SUMIF('Kreise_2015'!$C$2:$C$403,A130,'Kreise_2015'!$H$2:$H$403)</x:f>
        <x:v>1</x:v>
      </x:c>
    </x:row>
    <x:row r="131" ht="24" customHeight="1">
      <x:c r="A131" s="2" t="n">
        <x:v>131</x:v>
      </x:c>
      <x:c r="B131" s="2" t="str">
        <x:v>Mosbach</x:v>
      </x:c>
      <x:c r="C131" s="7" t="n">
        <x:f>COUNTIF('Kreise_2015'!$C$2:$C$403,A131)</x:f>
        <x:v>1</x:v>
      </x:c>
      <x:c r="D131" s="7" t="n">
        <x:f>SUMIF('Kreise_2015'!$C$2:$C$403,A131,'Kreise_2015'!$F$2:$F$403)</x:f>
        <x:v>32986</x:v>
      </x:c>
      <x:c r="E131" s="8" t="n">
        <x:f>SUMIF('Kreise_2015'!$C$2:$C$403,A131,'Kreise_2015'!$G$2:$G$403)/D131</x:f>
        <x:v>3033.4896907216494</x:v>
      </x:c>
      <x:c r="F131" s="2" t="n">
        <x:v>2015</x:v>
      </x:c>
      <x:c r="G131" s="9" t="n">
        <x:f>SUMIF('Kreise_2015'!$C$2:$C$403,A131,'Kreise_2015'!$H$2:$H$403)</x:f>
        <x:v>1</x:v>
      </x:c>
    </x:row>
    <x:row r="132" ht="24" customHeight="1">
      <x:c r="A132" s="2" t="n">
        <x:v>132</x:v>
      </x:c>
      <x:c r="B132" s="2" t="str">
        <x:v>Pforzheim</x:v>
      </x:c>
      <x:c r="C132" s="7" t="n">
        <x:f>COUNTIF('Kreise_2015'!$C$2:$C$403,A132)</x:f>
        <x:v>2</x:v>
      </x:c>
      <x:c r="D132" s="7" t="n">
        <x:f>SUMIF('Kreise_2015'!$C$2:$C$403,A132,'Kreise_2015'!$F$2:$F$403)</x:f>
        <x:v>87125</x:v>
      </x:c>
      <x:c r="E132" s="8" t="n">
        <x:f>SUMIF('Kreise_2015'!$C$2:$C$403,A132,'Kreise_2015'!$G$2:$G$403)/D132</x:f>
        <x:v>3158.0563353919256</x:v>
      </x:c>
      <x:c r="F132" s="2" t="n">
        <x:v>2015</x:v>
      </x:c>
      <x:c r="G132" s="9" t="n">
        <x:f>SUMIF('Kreise_2015'!$C$2:$C$403,A132,'Kreise_2015'!$H$2:$H$403)</x:f>
        <x:v>1</x:v>
      </x:c>
    </x:row>
    <x:row r="133" ht="24" customHeight="1">
      <x:c r="A133" s="2" t="n">
        <x:v>133</x:v>
      </x:c>
      <x:c r="B133" s="2" t="str">
        <x:v>Calw</x:v>
      </x:c>
      <x:c r="C133" s="7" t="n">
        <x:f>COUNTIF('Kreise_2015'!$C$2:$C$403,A133)</x:f>
        <x:v>1</x:v>
      </x:c>
      <x:c r="D133" s="7" t="n">
        <x:f>SUMIF('Kreise_2015'!$C$2:$C$403,A133,'Kreise_2015'!$F$2:$F$403)</x:f>
        <x:v>32144</x:v>
      </x:c>
      <x:c r="E133" s="8" t="n">
        <x:f>SUMIF('Kreise_2015'!$C$2:$C$403,A133,'Kreise_2015'!$G$2:$G$403)/D133</x:f>
        <x:v>3059.140776699029</x:v>
      </x:c>
      <x:c r="F133" s="2" t="n">
        <x:v>2015</x:v>
      </x:c>
      <x:c r="G133" s="9" t="n">
        <x:f>SUMIF('Kreise_2015'!$C$2:$C$403,A133,'Kreise_2015'!$H$2:$H$403)</x:f>
        <x:v>1</x:v>
      </x:c>
    </x:row>
    <x:row r="134" ht="24" customHeight="1">
      <x:c r="A134" s="2" t="n">
        <x:v>134</x:v>
      </x:c>
      <x:c r="B134" s="2" t="str">
        <x:v>Freudenstadt</x:v>
      </x:c>
      <x:c r="C134" s="7" t="n">
        <x:f>COUNTIF('Kreise_2015'!$C$2:$C$403,A134)</x:f>
        <x:v>1</x:v>
      </x:c>
      <x:c r="D134" s="7" t="n">
        <x:f>SUMIF('Kreise_2015'!$C$2:$C$403,A134,'Kreise_2015'!$F$2:$F$403)</x:f>
        <x:v>34940</x:v>
      </x:c>
      <x:c r="E134" s="8" t="n">
        <x:f>SUMIF('Kreise_2015'!$C$2:$C$403,A134,'Kreise_2015'!$G$2:$G$403)/D134</x:f>
        <x:v>3251.4792626728113</x:v>
      </x:c>
      <x:c r="F134" s="2" t="n">
        <x:v>2015</x:v>
      </x:c>
      <x:c r="G134" s="9" t="n">
        <x:f>SUMIF('Kreise_2015'!$C$2:$C$403,A134,'Kreise_2015'!$H$2:$H$403)</x:f>
        <x:v>1</x:v>
      </x:c>
    </x:row>
    <x:row r="135" ht="24" customHeight="1">
      <x:c r="A135" s="2" t="n">
        <x:v>135</x:v>
      </x:c>
      <x:c r="B135" s="2" t="str">
        <x:v>Freiburg</x:v>
      </x:c>
      <x:c r="C135" s="7" t="n">
        <x:f>COUNTIF('Kreise_2015'!$C$2:$C$403,A135)</x:f>
        <x:v>3</x:v>
      </x:c>
      <x:c r="D135" s="7" t="n">
        <x:f>SUMIF('Kreise_2015'!$C$2:$C$403,A135,'Kreise_2015'!$F$2:$F$403)</x:f>
        <x:v>168547</x:v>
      </x:c>
      <x:c r="E135" s="8" t="n">
        <x:f>SUMIF('Kreise_2015'!$C$2:$C$403,A135,'Kreise_2015'!$G$2:$G$403)/D135</x:f>
        <x:v>3149.5953902281803</x:v>
      </x:c>
      <x:c r="F135" s="2" t="n">
        <x:v>2015</x:v>
      </x:c>
      <x:c r="G135" s="9" t="n">
        <x:f>SUMIF('Kreise_2015'!$C$2:$C$403,A135,'Kreise_2015'!$H$2:$H$403)</x:f>
        <x:v>1</x:v>
      </x:c>
    </x:row>
    <x:row r="136" ht="24" customHeight="1">
      <x:c r="A136" s="2" t="n">
        <x:v>136</x:v>
      </x:c>
      <x:c r="B136" s="2" t="str">
        <x:v>Offenburg</x:v>
      </x:c>
      <x:c r="C136" s="7" t="n">
        <x:f>COUNTIF('Kreise_2015'!$C$2:$C$403,A136)</x:f>
        <x:v>1</x:v>
      </x:c>
      <x:c r="D136" s="7" t="n">
        <x:f>SUMIF('Kreise_2015'!$C$2:$C$403,A136,'Kreise_2015'!$F$2:$F$403)</x:f>
        <x:v>127790</x:v>
      </x:c>
      <x:c r="E136" s="8" t="n">
        <x:f>SUMIF('Kreise_2015'!$C$2:$C$403,A136,'Kreise_2015'!$G$2:$G$403)/D136</x:f>
        <x:v>3080.5719246031745</x:v>
      </x:c>
      <x:c r="F136" s="2" t="n">
        <x:v>2015</x:v>
      </x:c>
      <x:c r="G136" s="9" t="n">
        <x:f>SUMIF('Kreise_2015'!$C$2:$C$403,A136,'Kreise_2015'!$H$2:$H$403)</x:f>
        <x:v>1</x:v>
      </x:c>
    </x:row>
    <x:row r="137" ht="24" customHeight="1">
      <x:c r="A137" s="2" t="n">
        <x:v>137</x:v>
      </x:c>
      <x:c r="B137" s="2" t="str">
        <x:v>Rottweil</x:v>
      </x:c>
      <x:c r="C137" s="7" t="n">
        <x:f>COUNTIF('Kreise_2015'!$C$2:$C$403,A137)</x:f>
        <x:v>1</x:v>
      </x:c>
      <x:c r="D137" s="7" t="n">
        <x:f>SUMIF('Kreise_2015'!$C$2:$C$403,A137,'Kreise_2015'!$F$2:$F$403)</x:f>
        <x:v>42099</x:v>
      </x:c>
      <x:c r="E137" s="8" t="n">
        <x:f>SUMIF('Kreise_2015'!$C$2:$C$403,A137,'Kreise_2015'!$G$2:$G$403)/D137</x:f>
        <x:v>3244.022906793049</x:v>
      </x:c>
      <x:c r="F137" s="2" t="n">
        <x:v>2015</x:v>
      </x:c>
      <x:c r="G137" s="9" t="n">
        <x:f>SUMIF('Kreise_2015'!$C$2:$C$403,A137,'Kreise_2015'!$H$2:$H$403)</x:f>
        <x:v>1</x:v>
      </x:c>
    </x:row>
    <x:row r="138" ht="24" customHeight="1">
      <x:c r="A138" s="2" t="n">
        <x:v>138</x:v>
      </x:c>
      <x:c r="B138" s="2" t="str">
        <x:v>Villingen-Schwenningen</x:v>
      </x:c>
      <x:c r="C138" s="7" t="n">
        <x:f>COUNTIF('Kreise_2015'!$C$2:$C$403,A138)</x:f>
        <x:v>1</x:v>
      </x:c>
      <x:c r="D138" s="7" t="n">
        <x:f>SUMIF('Kreise_2015'!$C$2:$C$403,A138,'Kreise_2015'!$F$2:$F$403)</x:f>
        <x:v>64085</x:v>
      </x:c>
      <x:c r="E138" s="8" t="n">
        <x:f>SUMIF('Kreise_2015'!$C$2:$C$403,A138,'Kreise_2015'!$G$2:$G$403)/D138</x:f>
        <x:v>3134.468253968254</x:v>
      </x:c>
      <x:c r="F138" s="2" t="n">
        <x:v>2015</x:v>
      </x:c>
      <x:c r="G138" s="9" t="n">
        <x:f>SUMIF('Kreise_2015'!$C$2:$C$403,A138,'Kreise_2015'!$H$2:$H$403)</x:f>
        <x:v>1</x:v>
      </x:c>
    </x:row>
    <x:row r="139" ht="24" customHeight="1">
      <x:c r="A139" s="2" t="n">
        <x:v>139</x:v>
      </x:c>
      <x:c r="B139" s="2" t="str">
        <x:v>Tuttlingen</x:v>
      </x:c>
      <x:c r="C139" s="7" t="n">
        <x:f>COUNTIF('Kreise_2015'!$C$2:$C$403,A139)</x:f>
        <x:v>1</x:v>
      </x:c>
      <x:c r="D139" s="7" t="n">
        <x:f>SUMIF('Kreise_2015'!$C$2:$C$403,A139,'Kreise_2015'!$F$2:$F$403)</x:f>
        <x:v>50518</x:v>
      </x:c>
      <x:c r="E139" s="8" t="n">
        <x:f>SUMIF('Kreise_2015'!$C$2:$C$403,A139,'Kreise_2015'!$G$2:$G$403)/D139</x:f>
        <x:v>3349.7198100407054</x:v>
      </x:c>
      <x:c r="F139" s="2" t="n">
        <x:v>2015</x:v>
      </x:c>
      <x:c r="G139" s="9" t="n">
        <x:f>SUMIF('Kreise_2015'!$C$2:$C$403,A139,'Kreise_2015'!$H$2:$H$403)</x:f>
        <x:v>1</x:v>
      </x:c>
    </x:row>
    <x:row r="140" ht="24" customHeight="1">
      <x:c r="A140" s="2" t="n">
        <x:v>140</x:v>
      </x:c>
      <x:c r="B140" s="2" t="str">
        <x:v>Konstanz</x:v>
      </x:c>
      <x:c r="C140" s="7" t="n">
        <x:f>COUNTIF('Kreise_2015'!$C$2:$C$403,A140)</x:f>
        <x:v>1</x:v>
      </x:c>
      <x:c r="D140" s="7" t="n">
        <x:f>SUMIF('Kreise_2015'!$C$2:$C$403,A140,'Kreise_2015'!$F$2:$F$403)</x:f>
        <x:v>67676</x:v>
      </x:c>
      <x:c r="E140" s="8" t="n">
        <x:f>SUMIF('Kreise_2015'!$C$2:$C$403,A140,'Kreise_2015'!$G$2:$G$403)/D140</x:f>
        <x:v>3123.980662983425</x:v>
      </x:c>
      <x:c r="F140" s="2" t="n">
        <x:v>2015</x:v>
      </x:c>
      <x:c r="G140" s="9" t="n">
        <x:f>SUMIF('Kreise_2015'!$C$2:$C$403,A140,'Kreise_2015'!$H$2:$H$403)</x:f>
        <x:v>1</x:v>
      </x:c>
    </x:row>
    <x:row r="141" ht="24" customHeight="1">
      <x:c r="A141" s="2" t="n">
        <x:v>141</x:v>
      </x:c>
      <x:c r="B141" s="2" t="str">
        <x:v>Lörrach</x:v>
      </x:c>
      <x:c r="C141" s="7" t="n">
        <x:f>COUNTIF('Kreise_2015'!$C$2:$C$403,A141)</x:f>
        <x:v>1</x:v>
      </x:c>
      <x:c r="D141" s="7" t="n">
        <x:f>SUMIF('Kreise_2015'!$C$2:$C$403,A141,'Kreise_2015'!$F$2:$F$403)</x:f>
        <x:v>55845</x:v>
      </x:c>
      <x:c r="E141" s="8" t="n">
        <x:f>SUMIF('Kreise_2015'!$C$2:$C$403,A141,'Kreise_2015'!$G$2:$G$403)/D141</x:f>
        <x:v>3254.7665726375176</x:v>
      </x:c>
      <x:c r="F141" s="2" t="n">
        <x:v>2015</x:v>
      </x:c>
      <x:c r="G141" s="9" t="n">
        <x:f>SUMIF('Kreise_2015'!$C$2:$C$403,A141,'Kreise_2015'!$H$2:$H$403)</x:f>
        <x:v>1</x:v>
      </x:c>
    </x:row>
    <x:row r="142" ht="24" customHeight="1">
      <x:c r="A142" s="2" t="n">
        <x:v>142</x:v>
      </x:c>
      <x:c r="B142" s="2" t="str">
        <x:v>Waldshut</x:v>
      </x:c>
      <x:c r="C142" s="7" t="n">
        <x:f>COUNTIF('Kreise_2015'!$C$2:$C$403,A142)</x:f>
        <x:v>1</x:v>
      </x:c>
      <x:c r="D142" s="7" t="n">
        <x:f>SUMIF('Kreise_2015'!$C$2:$C$403,A142,'Kreise_2015'!$F$2:$F$403)</x:f>
        <x:v>38157</x:v>
      </x:c>
      <x:c r="E142" s="8" t="n">
        <x:f>SUMIF('Kreise_2015'!$C$2:$C$403,A142,'Kreise_2015'!$G$2:$G$403)/D142</x:f>
        <x:v>3014.3306451612902</x:v>
      </x:c>
      <x:c r="F142" s="2" t="n">
        <x:v>2015</x:v>
      </x:c>
      <x:c r="G142" s="9" t="n">
        <x:f>SUMIF('Kreise_2015'!$C$2:$C$403,A142,'Kreise_2015'!$H$2:$H$403)</x:f>
        <x:v>1</x:v>
      </x:c>
    </x:row>
    <x:row r="143" ht="24" customHeight="1">
      <x:c r="A143" s="2" t="n">
        <x:v>143</x:v>
      </x:c>
      <x:c r="B143" s="2" t="str">
        <x:v>Reutlingen/Tübingen</x:v>
      </x:c>
      <x:c r="C143" s="7" t="n">
        <x:f>COUNTIF('Kreise_2015'!$C$2:$C$403,A143)</x:f>
        <x:v>2</x:v>
      </x:c>
      <x:c r="D143" s="7" t="n">
        <x:f>SUMIF('Kreise_2015'!$C$2:$C$403,A143,'Kreise_2015'!$F$2:$F$403)</x:f>
        <x:v>130704</x:v>
      </x:c>
      <x:c r="E143" s="8" t="n">
        <x:f>SUMIF('Kreise_2015'!$C$2:$C$403,A143,'Kreise_2015'!$G$2:$G$403)/D143</x:f>
        <x:v>3345.274745683833</x:v>
      </x:c>
      <x:c r="F143" s="2" t="n">
        <x:v>2015</x:v>
      </x:c>
      <x:c r="G143" s="9" t="n">
        <x:f>SUMIF('Kreise_2015'!$C$2:$C$403,A143,'Kreise_2015'!$H$2:$H$403)</x:f>
        <x:v>1</x:v>
      </x:c>
    </x:row>
    <x:row r="144" ht="24" customHeight="1">
      <x:c r="A144" s="2" t="n">
        <x:v>144</x:v>
      </x:c>
      <x:c r="B144" s="2" t="str">
        <x:v>Balingen</x:v>
      </x:c>
      <x:c r="C144" s="7" t="n">
        <x:f>COUNTIF('Kreise_2015'!$C$2:$C$403,A144)</x:f>
        <x:v>1</x:v>
      </x:c>
      <x:c r="D144" s="7" t="n">
        <x:f>SUMIF('Kreise_2015'!$C$2:$C$403,A144,'Kreise_2015'!$F$2:$F$403)</x:f>
        <x:v>48978</x:v>
      </x:c>
      <x:c r="E144" s="8" t="n">
        <x:f>SUMIF('Kreise_2015'!$C$2:$C$403,A144,'Kreise_2015'!$G$2:$G$403)/D144</x:f>
        <x:v>3122.9341192787797</x:v>
      </x:c>
      <x:c r="F144" s="2" t="n">
        <x:v>2015</x:v>
      </x:c>
      <x:c r="G144" s="9" t="n">
        <x:f>SUMIF('Kreise_2015'!$C$2:$C$403,A144,'Kreise_2015'!$H$2:$H$403)</x:f>
        <x:v>1</x:v>
      </x:c>
    </x:row>
    <x:row r="145" ht="24" customHeight="1">
      <x:c r="A145" s="2" t="n">
        <x:v>145</x:v>
      </x:c>
      <x:c r="B145" s="2" t="str">
        <x:v>Ulm</x:v>
      </x:c>
      <x:c r="C145" s="7" t="n">
        <x:f>COUNTIF('Kreise_2015'!$C$2:$C$403,A145)</x:f>
        <x:v>3</x:v>
      </x:c>
      <x:c r="D145" s="7" t="n">
        <x:f>SUMIF('Kreise_2015'!$C$2:$C$403,A145,'Kreise_2015'!$F$2:$F$403)</x:f>
        <x:v>156026</x:v>
      </x:c>
      <x:c r="E145" s="8" t="n">
        <x:f>SUMIF('Kreise_2015'!$C$2:$C$403,A145,'Kreise_2015'!$G$2:$G$403)/D145</x:f>
        <x:v>3352.339953301812</x:v>
      </x:c>
      <x:c r="F145" s="2" t="n">
        <x:v>2015</x:v>
      </x:c>
      <x:c r="G145" s="9" t="n">
        <x:f>SUMIF('Kreise_2015'!$C$2:$C$403,A145,'Kreise_2015'!$H$2:$H$403)</x:f>
        <x:v>1</x:v>
      </x:c>
    </x:row>
    <x:row r="146" ht="24" customHeight="1">
      <x:c r="A146" s="2" t="n">
        <x:v>146</x:v>
      </x:c>
      <x:c r="B146" s="2" t="str">
        <x:v>Biberach</x:v>
      </x:c>
      <x:c r="C146" s="7" t="n">
        <x:f>COUNTIF('Kreise_2015'!$C$2:$C$403,A146)</x:f>
        <x:v>1</x:v>
      </x:c>
      <x:c r="D146" s="7" t="n">
        <x:f>SUMIF('Kreise_2015'!$C$2:$C$403,A146,'Kreise_2015'!$F$2:$F$403)</x:f>
        <x:v>60293</x:v>
      </x:c>
      <x:c r="E146" s="8" t="n">
        <x:f>SUMIF('Kreise_2015'!$C$2:$C$403,A146,'Kreise_2015'!$G$2:$G$403)/D146</x:f>
        <x:v>3546.4484924623116</x:v>
      </x:c>
      <x:c r="F146" s="2" t="n">
        <x:v>2015</x:v>
      </x:c>
      <x:c r="G146" s="9" t="n">
        <x:f>SUMIF('Kreise_2015'!$C$2:$C$403,A146,'Kreise_2015'!$H$2:$H$403)</x:f>
        <x:v>1</x:v>
      </x:c>
    </x:row>
    <x:row r="147" ht="24" customHeight="1">
      <x:c r="A147" s="2" t="n">
        <x:v>147</x:v>
      </x:c>
      <x:c r="B147" s="2" t="str">
        <x:v>Friedrichshafen</x:v>
      </x:c>
      <x:c r="C147" s="7" t="n">
        <x:f>COUNTIF('Kreise_2015'!$C$2:$C$403,A147)</x:f>
        <x:v>1</x:v>
      </x:c>
      <x:c r="D147" s="7" t="n">
        <x:f>SUMIF('Kreise_2015'!$C$2:$C$403,A147,'Kreise_2015'!$F$2:$F$403)</x:f>
        <x:v>65668</x:v>
      </x:c>
      <x:c r="E147" s="8" t="n">
        <x:f>SUMIF('Kreise_2015'!$C$2:$C$403,A147,'Kreise_2015'!$G$2:$G$403)/D147</x:f>
        <x:v>3757.3355640535374</x:v>
      </x:c>
      <x:c r="F147" s="2" t="n">
        <x:v>2015</x:v>
      </x:c>
      <x:c r="G147" s="9" t="n">
        <x:f>SUMIF('Kreise_2015'!$C$2:$C$403,A147,'Kreise_2015'!$H$2:$H$403)</x:f>
        <x:v>1</x:v>
      </x:c>
    </x:row>
    <x:row r="148" ht="24" customHeight="1">
      <x:c r="A148" s="2" t="n">
        <x:v>148</x:v>
      </x:c>
      <x:c r="B148" s="2" t="str">
        <x:v>Ravensburg</x:v>
      </x:c>
      <x:c r="C148" s="7" t="n">
        <x:f>COUNTIF('Kreise_2015'!$C$2:$C$403,A148)</x:f>
        <x:v>1</x:v>
      </x:c>
      <x:c r="D148" s="7" t="n">
        <x:f>SUMIF('Kreise_2015'!$C$2:$C$403,A148,'Kreise_2015'!$F$2:$F$403)</x:f>
        <x:v>80986</x:v>
      </x:c>
      <x:c r="E148" s="8" t="n">
        <x:f>SUMIF('Kreise_2015'!$C$2:$C$403,A148,'Kreise_2015'!$G$2:$G$403)/D148</x:f>
        <x:v>3119.087047939445</x:v>
      </x:c>
      <x:c r="F148" s="2" t="n">
        <x:v>2015</x:v>
      </x:c>
      <x:c r="G148" s="9" t="n">
        <x:f>SUMIF('Kreise_2015'!$C$2:$C$403,A148,'Kreise_2015'!$H$2:$H$403)</x:f>
        <x:v>1</x:v>
      </x:c>
    </x:row>
    <x:row r="149" ht="24" customHeight="1">
      <x:c r="A149" s="2" t="n">
        <x:v>149</x:v>
      </x:c>
      <x:c r="B149" s="2" t="str">
        <x:v>Sigmaringen</x:v>
      </x:c>
      <x:c r="C149" s="7" t="n">
        <x:f>COUNTIF('Kreise_2015'!$C$2:$C$403,A149)</x:f>
        <x:v>1</x:v>
      </x:c>
      <x:c r="D149" s="7" t="n">
        <x:f>SUMIF('Kreise_2015'!$C$2:$C$403,A149,'Kreise_2015'!$F$2:$F$403)</x:f>
        <x:v>34054</x:v>
      </x:c>
      <x:c r="E149" s="8" t="n">
        <x:f>SUMIF('Kreise_2015'!$C$2:$C$403,A149,'Kreise_2015'!$G$2:$G$403)/D149</x:f>
        <x:v>3191.079044117647</x:v>
      </x:c>
      <x:c r="F149" s="2" t="n">
        <x:v>2015</x:v>
      </x:c>
      <x:c r="G149" s="9" t="n">
        <x:f>SUMIF('Kreise_2015'!$C$2:$C$403,A149,'Kreise_2015'!$H$2:$H$403)</x:f>
        <x:v>1</x:v>
      </x:c>
    </x:row>
    <x:row r="150" ht="24" customHeight="1">
      <x:c r="A150" s="2" t="n">
        <x:v>150</x:v>
      </x:c>
      <x:c r="B150" s="2" t="str">
        <x:v>Bad Reichenhall</x:v>
      </x:c>
      <x:c r="C150" s="7" t="n">
        <x:f>COUNTIF('Kreise_2015'!$C$2:$C$403,A150)</x:f>
        <x:v>1</x:v>
      </x:c>
      <x:c r="D150" s="7" t="n">
        <x:f>SUMIF('Kreise_2015'!$C$2:$C$403,A150,'Kreise_2015'!$F$2:$F$403)</x:f>
        <x:v>24020</x:v>
      </x:c>
      <x:c r="E150" s="8" t="n">
        <x:f>SUMIF('Kreise_2015'!$C$2:$C$403,A150,'Kreise_2015'!$G$2:$G$403)/D150</x:f>
        <x:v>2780.4375</x:v>
      </x:c>
      <x:c r="F150" s="2" t="n">
        <x:v>2015</x:v>
      </x:c>
      <x:c r="G150" s="9" t="n">
        <x:f>SUMIF('Kreise_2015'!$C$2:$C$403,A150,'Kreise_2015'!$H$2:$H$403)</x:f>
        <x:v>1</x:v>
      </x:c>
    </x:row>
    <x:row r="151" ht="24" customHeight="1">
      <x:c r="A151" s="2" t="n">
        <x:v>151</x:v>
      </x:c>
      <x:c r="B151" s="2" t="str">
        <x:v>Traunstein</x:v>
      </x:c>
      <x:c r="C151" s="7" t="n">
        <x:f>COUNTIF('Kreise_2015'!$C$2:$C$403,A151)</x:f>
        <x:v>1</x:v>
      </x:c>
      <x:c r="D151" s="7" t="n">
        <x:f>SUMIF('Kreise_2015'!$C$2:$C$403,A151,'Kreise_2015'!$F$2:$F$403)</x:f>
        <x:v>47336</x:v>
      </x:c>
      <x:c r="E151" s="8" t="n">
        <x:f>SUMIF('Kreise_2015'!$C$2:$C$403,A151,'Kreise_2015'!$G$2:$G$403)/D151</x:f>
        <x:v>3100.563211125158</x:v>
      </x:c>
      <x:c r="F151" s="2" t="n">
        <x:v>2015</x:v>
      </x:c>
      <x:c r="G151" s="9" t="n">
        <x:f>SUMIF('Kreise_2015'!$C$2:$C$403,A151,'Kreise_2015'!$H$2:$H$403)</x:f>
        <x:v>1</x:v>
      </x:c>
    </x:row>
    <x:row r="152" ht="24" customHeight="1">
      <x:c r="A152" s="2" t="n">
        <x:v>152</x:v>
      </x:c>
      <x:c r="B152" s="2" t="str">
        <x:v>Burghausen</x:v>
      </x:c>
      <x:c r="C152" s="7" t="n">
        <x:f>COUNTIF('Kreise_2015'!$C$2:$C$403,A152)</x:f>
        <x:v>1</x:v>
      </x:c>
      <x:c r="D152" s="7" t="n">
        <x:f>SUMIF('Kreise_2015'!$C$2:$C$403,A152,'Kreise_2015'!$F$2:$F$403)</x:f>
        <x:v>31258</x:v>
      </x:c>
      <x:c r="E152" s="8" t="n">
        <x:f>SUMIF('Kreise_2015'!$C$2:$C$403,A152,'Kreise_2015'!$G$2:$G$403)/D152</x:f>
        <x:v>3432.2034700315457</x:v>
      </x:c>
      <x:c r="F152" s="2" t="n">
        <x:v>2015</x:v>
      </x:c>
      <x:c r="G152" s="9" t="n">
        <x:f>SUMIF('Kreise_2015'!$C$2:$C$403,A152,'Kreise_2015'!$H$2:$H$403)</x:f>
        <x:v>1</x:v>
      </x:c>
    </x:row>
    <x:row r="153" ht="24" customHeight="1">
      <x:c r="A153" s="2" t="n">
        <x:v>153</x:v>
      </x:c>
      <x:c r="B153" s="2" t="str">
        <x:v>Mühldorf</x:v>
      </x:c>
      <x:c r="C153" s="7" t="n">
        <x:f>COUNTIF('Kreise_2015'!$C$2:$C$403,A153)</x:f>
        <x:v>1</x:v>
      </x:c>
      <x:c r="D153" s="7" t="n">
        <x:f>SUMIF('Kreise_2015'!$C$2:$C$403,A153,'Kreise_2015'!$F$2:$F$403)</x:f>
        <x:v>27460</x:v>
      </x:c>
      <x:c r="E153" s="8" t="n">
        <x:f>SUMIF('Kreise_2015'!$C$2:$C$403,A153,'Kreise_2015'!$G$2:$G$403)/D153</x:f>
        <x:v>2988.1744186046512</x:v>
      </x:c>
      <x:c r="F153" s="2" t="n">
        <x:v>2015</x:v>
      </x:c>
      <x:c r="G153" s="9" t="n">
        <x:f>SUMIF('Kreise_2015'!$C$2:$C$403,A153,'Kreise_2015'!$H$2:$H$403)</x:f>
        <x:v>1</x:v>
      </x:c>
    </x:row>
    <x:row r="154" ht="24" customHeight="1">
      <x:c r="A154" s="2" t="n">
        <x:v>154</x:v>
      </x:c>
      <x:c r="B154" s="2" t="str">
        <x:v>Rosenheim</x:v>
      </x:c>
      <x:c r="C154" s="7" t="n">
        <x:f>COUNTIF('Kreise_2015'!$C$2:$C$403,A154)</x:f>
        <x:v>2</x:v>
      </x:c>
      <x:c r="D154" s="7" t="n">
        <x:f>SUMIF('Kreise_2015'!$C$2:$C$403,A154,'Kreise_2015'!$F$2:$F$403)</x:f>
        <x:v>80573</x:v>
      </x:c>
      <x:c r="E154" s="8" t="n">
        <x:f>SUMIF('Kreise_2015'!$C$2:$C$403,A154,'Kreise_2015'!$G$2:$G$403)/D154</x:f>
        <x:v>2971.544559904244</x:v>
      </x:c>
      <x:c r="F154" s="2" t="n">
        <x:v>2015</x:v>
      </x:c>
      <x:c r="G154" s="9" t="n">
        <x:f>SUMIF('Kreise_2015'!$C$2:$C$403,A154,'Kreise_2015'!$H$2:$H$403)</x:f>
        <x:v>1</x:v>
      </x:c>
    </x:row>
    <x:row r="155" ht="24" customHeight="1">
      <x:c r="A155" s="2" t="n">
        <x:v>155</x:v>
      </x:c>
      <x:c r="B155" s="2" t="str">
        <x:v>Bad Tölz</x:v>
      </x:c>
      <x:c r="C155" s="7" t="n">
        <x:f>COUNTIF('Kreise_2015'!$C$2:$C$403,A155)</x:f>
        <x:v>2</x:v>
      </x:c>
      <x:c r="D155" s="7" t="n">
        <x:f>SUMIF('Kreise_2015'!$C$2:$C$403,A155,'Kreise_2015'!$F$2:$F$403)</x:f>
        <x:v>49950</x:v>
      </x:c>
      <x:c r="E155" s="8" t="n">
        <x:f>SUMIF('Kreise_2015'!$C$2:$C$403,A155,'Kreise_2015'!$G$2:$G$403)/D155</x:f>
        <x:v>2969.12259037534</x:v>
      </x:c>
      <x:c r="F155" s="2" t="n">
        <x:v>2015</x:v>
      </x:c>
      <x:c r="G155" s="9" t="n">
        <x:f>SUMIF('Kreise_2015'!$C$2:$C$403,A155,'Kreise_2015'!$H$2:$H$403)</x:f>
        <x:v>1</x:v>
      </x:c>
    </x:row>
    <x:row r="156" ht="24" customHeight="1">
      <x:c r="A156" s="2" t="n">
        <x:v>156</x:v>
      </x:c>
      <x:c r="B156" s="2" t="str">
        <x:v>Garmisch-Partenkirchen</x:v>
      </x:c>
      <x:c r="C156" s="7" t="n">
        <x:f>COUNTIF('Kreise_2015'!$C$2:$C$403,A156)</x:f>
        <x:v>1</x:v>
      </x:c>
      <x:c r="D156" s="7" t="n">
        <x:f>SUMIF('Kreise_2015'!$C$2:$C$403,A156,'Kreise_2015'!$F$2:$F$403)</x:f>
        <x:v>18744</x:v>
      </x:c>
      <x:c r="E156" s="8" t="n">
        <x:f>SUMIF('Kreise_2015'!$C$2:$C$403,A156,'Kreise_2015'!$G$2:$G$403)/D156</x:f>
        <x:v>2726.9437689969604</x:v>
      </x:c>
      <x:c r="F156" s="2" t="n">
        <x:v>2015</x:v>
      </x:c>
      <x:c r="G156" s="9" t="n">
        <x:f>SUMIF('Kreise_2015'!$C$2:$C$403,A156,'Kreise_2015'!$H$2:$H$403)</x:f>
        <x:v>1</x:v>
      </x:c>
    </x:row>
    <x:row r="157" ht="24" customHeight="1">
      <x:c r="A157" s="2" t="n">
        <x:v>157</x:v>
      </x:c>
      <x:c r="B157" s="2" t="str">
        <x:v>Weilheim</x:v>
      </x:c>
      <x:c r="C157" s="7" t="n">
        <x:f>COUNTIF('Kreise_2015'!$C$2:$C$403,A157)</x:f>
        <x:v>1</x:v>
      </x:c>
      <x:c r="D157" s="7" t="n">
        <x:f>SUMIF('Kreise_2015'!$C$2:$C$403,A157,'Kreise_2015'!$F$2:$F$403)</x:f>
        <x:v>32781</x:v>
      </x:c>
      <x:c r="E157" s="8" t="n">
        <x:f>SUMIF('Kreise_2015'!$C$2:$C$403,A157,'Kreise_2015'!$G$2:$G$403)/D157</x:f>
        <x:v>3380.427385892116</x:v>
      </x:c>
      <x:c r="F157" s="2" t="n">
        <x:v>2015</x:v>
      </x:c>
      <x:c r="G157" s="9" t="n">
        <x:f>SUMIF('Kreise_2015'!$C$2:$C$403,A157,'Kreise_2015'!$H$2:$H$403)</x:f>
        <x:v>1</x:v>
      </x:c>
    </x:row>
    <x:row r="158" ht="24" customHeight="1">
      <x:c r="A158" s="2" t="n">
        <x:v>158</x:v>
      </x:c>
      <x:c r="B158" s="2" t="str">
        <x:v>Landsberg</x:v>
      </x:c>
      <x:c r="C158" s="7" t="n">
        <x:f>COUNTIF('Kreise_2015'!$C$2:$C$403,A158)</x:f>
        <x:v>1</x:v>
      </x:c>
      <x:c r="D158" s="7" t="n">
        <x:f>SUMIF('Kreise_2015'!$C$2:$C$403,A158,'Kreise_2015'!$F$2:$F$403)</x:f>
        <x:v>25364</x:v>
      </x:c>
      <x:c r="E158" s="8" t="n">
        <x:f>SUMIF('Kreise_2015'!$C$2:$C$403,A158,'Kreise_2015'!$G$2:$G$403)/D158</x:f>
        <x:v>3140.0320197044334</x:v>
      </x:c>
      <x:c r="F158" s="2" t="n">
        <x:v>2015</x:v>
      </x:c>
      <x:c r="G158" s="9" t="n">
        <x:f>SUMIF('Kreise_2015'!$C$2:$C$403,A158,'Kreise_2015'!$H$2:$H$403)</x:f>
        <x:v>1</x:v>
      </x:c>
    </x:row>
    <x:row r="159" ht="24" customHeight="1">
      <x:c r="A159" s="2" t="n">
        <x:v>159</x:v>
      </x:c>
      <x:c r="B159" s="2" t="str">
        <x:v>München</x:v>
      </x:c>
      <x:c r="C159" s="7" t="n">
        <x:f>COUNTIF('Kreise_2015'!$C$2:$C$403,A159)</x:f>
        <x:v>8</x:v>
      </x:c>
      <x:c r="D159" s="7" t="n">
        <x:f>SUMIF('Kreise_2015'!$C$2:$C$403,A159,'Kreise_2015'!$F$2:$F$403)</x:f>
        <x:v>992931</x:v>
      </x:c>
      <x:c r="E159" s="8" t="n">
        <x:f>SUMIF('Kreise_2015'!$C$2:$C$403,A159,'Kreise_2015'!$G$2:$G$403)/D159</x:f>
        <x:v>3812.714003743224</x:v>
      </x:c>
      <x:c r="F159" s="2" t="n">
        <x:v>2015</x:v>
      </x:c>
      <x:c r="G159" s="9" t="n">
        <x:f>SUMIF('Kreise_2015'!$C$2:$C$403,A159,'Kreise_2015'!$H$2:$H$403)</x:f>
        <x:v>1</x:v>
      </x:c>
    </x:row>
    <x:row r="160" ht="24" customHeight="1">
      <x:c r="A160" s="2" t="n">
        <x:v>160</x:v>
      </x:c>
      <x:c r="B160" s="2" t="str">
        <x:v>Ingolstadt</x:v>
      </x:c>
      <x:c r="C160" s="7" t="n">
        <x:f>COUNTIF('Kreise_2015'!$C$2:$C$403,A160)</x:f>
        <x:v>4</x:v>
      </x:c>
      <x:c r="D160" s="7" t="n">
        <x:f>SUMIF('Kreise_2015'!$C$2:$C$403,A160,'Kreise_2015'!$F$2:$F$403)</x:f>
        <x:v>164013</x:v>
      </x:c>
      <x:c r="E160" s="8" t="n">
        <x:f>SUMIF('Kreise_2015'!$C$2:$C$403,A160,'Kreise_2015'!$G$2:$G$403)/D160</x:f>
        <x:v>3846.7118451520173</x:v>
      </x:c>
      <x:c r="F160" s="2" t="n">
        <x:v>2015</x:v>
      </x:c>
      <x:c r="G160" s="9" t="n">
        <x:f>SUMIF('Kreise_2015'!$C$2:$C$403,A160,'Kreise_2015'!$H$2:$H$403)</x:f>
        <x:v>1</x:v>
      </x:c>
    </x:row>
    <x:row r="161" ht="24" customHeight="1">
      <x:c r="A161" s="2" t="n">
        <x:v>161</x:v>
      </x:c>
      <x:c r="B161" s="2" t="str">
        <x:v>Kelheim-Mainburg</x:v>
      </x:c>
      <x:c r="C161" s="7" t="n">
        <x:f>COUNTIF('Kreise_2015'!$C$2:$C$403,A161)</x:f>
        <x:v>1</x:v>
      </x:c>
      <x:c r="D161" s="7" t="n">
        <x:f>SUMIF('Kreise_2015'!$C$2:$C$403,A161,'Kreise_2015'!$F$2:$F$403)</x:f>
        <x:v>27258</x:v>
      </x:c>
      <x:c r="E161" s="8" t="n">
        <x:f>SUMIF('Kreise_2015'!$C$2:$C$403,A161,'Kreise_2015'!$G$2:$G$403)/D161</x:f>
        <x:v>2988.7136279926335</x:v>
      </x:c>
      <x:c r="F161" s="2" t="n">
        <x:v>2015</x:v>
      </x:c>
      <x:c r="G161" s="9" t="n">
        <x:f>SUMIF('Kreise_2015'!$C$2:$C$403,A161,'Kreise_2015'!$H$2:$H$403)</x:f>
        <x:v>1</x:v>
      </x:c>
    </x:row>
    <x:row r="162" ht="24" customHeight="1">
      <x:c r="A162" s="2" t="n">
        <x:v>162</x:v>
      </x:c>
      <x:c r="B162" s="2" t="str">
        <x:v>Landshut</x:v>
      </x:c>
      <x:c r="C162" s="7" t="n">
        <x:f>COUNTIF('Kreise_2015'!$C$2:$C$403,A162)</x:f>
        <x:v>2</x:v>
      </x:c>
      <x:c r="D162" s="7" t="n">
        <x:f>SUMIF('Kreise_2015'!$C$2:$C$403,A162,'Kreise_2015'!$F$2:$F$403)</x:f>
        <x:v>59687</x:v>
      </x:c>
      <x:c r="E162" s="8" t="n">
        <x:f>SUMIF('Kreise_2015'!$C$2:$C$403,A162,'Kreise_2015'!$G$2:$G$403)/D162</x:f>
        <x:v>3015.0204847637183</x:v>
      </x:c>
      <x:c r="F162" s="2" t="n">
        <x:v>2015</x:v>
      </x:c>
      <x:c r="G162" s="9" t="n">
        <x:f>SUMIF('Kreise_2015'!$C$2:$C$403,A162,'Kreise_2015'!$H$2:$H$403)</x:f>
        <x:v>1</x:v>
      </x:c>
    </x:row>
    <x:row r="163" ht="24" customHeight="1">
      <x:c r="A163" s="2" t="n">
        <x:v>163</x:v>
      </x:c>
      <x:c r="B163" s="2" t="str">
        <x:v>Dingolfing</x:v>
      </x:c>
      <x:c r="C163" s="7" t="n">
        <x:f>COUNTIF('Kreise_2015'!$C$2:$C$403,A163)</x:f>
        <x:v>1</x:v>
      </x:c>
      <x:c r="D163" s="7" t="n">
        <x:f>SUMIF('Kreise_2015'!$C$2:$C$403,A163,'Kreise_2015'!$F$2:$F$403)</x:f>
        <x:v>40452</x:v>
      </x:c>
      <x:c r="E163" s="8" t="n">
        <x:f>SUMIF('Kreise_2015'!$C$2:$C$403,A163,'Kreise_2015'!$G$2:$G$403)/D163</x:f>
        <x:v>3771.856783919598</x:v>
      </x:c>
      <x:c r="F163" s="2" t="n">
        <x:v>2015</x:v>
      </x:c>
      <x:c r="G163" s="9" t="n">
        <x:f>SUMIF('Kreise_2015'!$C$2:$C$403,A163,'Kreise_2015'!$H$2:$H$403)</x:f>
        <x:v>1</x:v>
      </x:c>
    </x:row>
    <x:row r="164" ht="24" customHeight="1">
      <x:c r="A164" s="2" t="n">
        <x:v>164</x:v>
      </x:c>
      <x:c r="B164" s="2" t="str">
        <x:v>Eggenfelden/Pfarrkirchen</x:v>
      </x:c>
      <x:c r="C164" s="7" t="n">
        <x:f>COUNTIF('Kreise_2015'!$C$2:$C$403,A164)</x:f>
        <x:v>1</x:v>
      </x:c>
      <x:c r="D164" s="7" t="n">
        <x:f>SUMIF('Kreise_2015'!$C$2:$C$403,A164,'Kreise_2015'!$F$2:$F$403)</x:f>
        <x:v>26468</x:v>
      </x:c>
      <x:c r="E164" s="8" t="n">
        <x:f>SUMIF('Kreise_2015'!$C$2:$C$403,A164,'Kreise_2015'!$G$2:$G$403)/D164</x:f>
        <x:v>2684.2067209775973</x:v>
      </x:c>
      <x:c r="F164" s="2" t="n">
        <x:v>2015</x:v>
      </x:c>
      <x:c r="G164" s="9" t="n">
        <x:f>SUMIF('Kreise_2015'!$C$2:$C$403,A164,'Kreise_2015'!$H$2:$H$403)</x:f>
        <x:v>1</x:v>
      </x:c>
    </x:row>
    <x:row r="165" ht="24" customHeight="1">
      <x:c r="A165" s="2" t="n">
        <x:v>165</x:v>
      </x:c>
      <x:c r="B165" s="2" t="str">
        <x:v>Passau</x:v>
      </x:c>
      <x:c r="C165" s="7" t="n">
        <x:f>COUNTIF('Kreise_2015'!$C$2:$C$403,A165)</x:f>
        <x:v>2</x:v>
      </x:c>
      <x:c r="D165" s="7" t="n">
        <x:f>SUMIF('Kreise_2015'!$C$2:$C$403,A165,'Kreise_2015'!$F$2:$F$403)</x:f>
        <x:v>66827</x:v>
      </x:c>
      <x:c r="E165" s="8" t="n">
        <x:f>SUMIF('Kreise_2015'!$C$2:$C$403,A165,'Kreise_2015'!$G$2:$G$403)/D165</x:f>
        <x:v>2857.7635920826697</x:v>
      </x:c>
      <x:c r="F165" s="2" t="n">
        <x:v>2015</x:v>
      </x:c>
      <x:c r="G165" s="9" t="n">
        <x:f>SUMIF('Kreise_2015'!$C$2:$C$403,A165,'Kreise_2015'!$H$2:$H$403)</x:f>
        <x:v>1</x:v>
      </x:c>
    </x:row>
    <x:row r="166" ht="24" customHeight="1">
      <x:c r="A166" s="2" t="n">
        <x:v>166</x:v>
      </x:c>
      <x:c r="B166" s="2" t="str">
        <x:v>Freyung</x:v>
      </x:c>
      <x:c r="C166" s="7" t="n">
        <x:f>COUNTIF('Kreise_2015'!$C$2:$C$403,A166)</x:f>
        <x:v>1</x:v>
      </x:c>
      <x:c r="D166" s="7" t="n">
        <x:f>SUMIF('Kreise_2015'!$C$2:$C$403,A166,'Kreise_2015'!$F$2:$F$403)</x:f>
        <x:v>15718</x:v>
      </x:c>
      <x:c r="E166" s="8" t="n">
        <x:f>SUMIF('Kreise_2015'!$C$2:$C$403,A166,'Kreise_2015'!$G$2:$G$403)/D166</x:f>
        <x:v>2643.8753943217666</x:v>
      </x:c>
      <x:c r="F166" s="2" t="n">
        <x:v>2015</x:v>
      </x:c>
      <x:c r="G166" s="9" t="n">
        <x:f>SUMIF('Kreise_2015'!$C$2:$C$403,A166,'Kreise_2015'!$H$2:$H$403)</x:f>
        <x:v>1</x:v>
      </x:c>
    </x:row>
    <x:row r="167" ht="24" customHeight="1">
      <x:c r="A167" s="2" t="n">
        <x:v>167</x:v>
      </x:c>
      <x:c r="B167" s="2" t="str">
        <x:v>Regen-Zwiesel</x:v>
      </x:c>
      <x:c r="C167" s="7" t="n">
        <x:f>COUNTIF('Kreise_2015'!$C$2:$C$403,A167)</x:f>
        <x:v>1</x:v>
      </x:c>
      <x:c r="D167" s="7" t="n">
        <x:f>SUMIF('Kreise_2015'!$C$2:$C$403,A167,'Kreise_2015'!$F$2:$F$403)</x:f>
        <x:v>17995</x:v>
      </x:c>
      <x:c r="E167" s="8" t="n">
        <x:f>SUMIF('Kreise_2015'!$C$2:$C$403,A167,'Kreise_2015'!$G$2:$G$403)/D167</x:f>
        <x:v>2758.307807807808</x:v>
      </x:c>
      <x:c r="F167" s="2" t="n">
        <x:v>2015</x:v>
      </x:c>
      <x:c r="G167" s="9" t="n">
        <x:f>SUMIF('Kreise_2015'!$C$2:$C$403,A167,'Kreise_2015'!$H$2:$H$403)</x:f>
        <x:v>1</x:v>
      </x:c>
    </x:row>
    <x:row r="168" ht="24" customHeight="1">
      <x:c r="A168" s="2" t="n">
        <x:v>168</x:v>
      </x:c>
      <x:c r="B168" s="2" t="str">
        <x:v>Deggendorf</x:v>
      </x:c>
      <x:c r="C168" s="7" t="n">
        <x:f>COUNTIF('Kreise_2015'!$C$2:$C$403,A168)</x:f>
        <x:v>1</x:v>
      </x:c>
      <x:c r="D168" s="7" t="n">
        <x:f>SUMIF('Kreise_2015'!$C$2:$C$403,A168,'Kreise_2015'!$F$2:$F$403)</x:f>
        <x:v>35299</x:v>
      </x:c>
      <x:c r="E168" s="8" t="n">
        <x:f>SUMIF('Kreise_2015'!$C$2:$C$403,A168,'Kreise_2015'!$G$2:$G$403)/D168</x:f>
        <x:v>2925.580906148867</x:v>
      </x:c>
      <x:c r="F168" s="2" t="n">
        <x:v>2015</x:v>
      </x:c>
      <x:c r="G168" s="9" t="n">
        <x:f>SUMIF('Kreise_2015'!$C$2:$C$403,A168,'Kreise_2015'!$H$2:$H$403)</x:f>
        <x:v>1</x:v>
      </x:c>
    </x:row>
    <x:row r="169" ht="24" customHeight="1">
      <x:c r="A169" s="2" t="n">
        <x:v>169</x:v>
      </x:c>
      <x:c r="B169" s="2" t="str">
        <x:v>Straubing</x:v>
      </x:c>
      <x:c r="C169" s="7" t="n">
        <x:f>COUNTIF('Kreise_2015'!$C$2:$C$403,A169)</x:f>
        <x:v>2</x:v>
      </x:c>
      <x:c r="D169" s="7" t="n">
        <x:f>SUMIF('Kreise_2015'!$C$2:$C$403,A169,'Kreise_2015'!$F$2:$F$403)</x:f>
        <x:v>37147</x:v>
      </x:c>
      <x:c r="E169" s="8" t="n">
        <x:f>SUMIF('Kreise_2015'!$C$2:$C$403,A169,'Kreise_2015'!$G$2:$G$403)/D169</x:f>
        <x:v>2850.164423753062</x:v>
      </x:c>
      <x:c r="F169" s="2" t="n">
        <x:v>2015</x:v>
      </x:c>
      <x:c r="G169" s="9" t="n">
        <x:f>SUMIF('Kreise_2015'!$C$2:$C$403,A169,'Kreise_2015'!$H$2:$H$403)</x:f>
        <x:v>1</x:v>
      </x:c>
    </x:row>
    <x:row r="170" ht="24" customHeight="1">
      <x:c r="A170" s="2" t="n">
        <x:v>170</x:v>
      </x:c>
      <x:c r="B170" s="2" t="str">
        <x:v>Cham</x:v>
      </x:c>
      <x:c r="C170" s="7" t="n">
        <x:f>COUNTIF('Kreise_2015'!$C$2:$C$403,A170)</x:f>
        <x:v>1</x:v>
      </x:c>
      <x:c r="D170" s="7" t="n">
        <x:f>SUMIF('Kreise_2015'!$C$2:$C$403,A170,'Kreise_2015'!$F$2:$F$403)</x:f>
        <x:v>34815</x:v>
      </x:c>
      <x:c r="E170" s="8" t="n">
        <x:f>SUMIF('Kreise_2015'!$C$2:$C$403,A170,'Kreise_2015'!$G$2:$G$403)/D170</x:f>
        <x:v>2707.5182094081943</x:v>
      </x:c>
      <x:c r="F170" s="2" t="n">
        <x:v>2015</x:v>
      </x:c>
      <x:c r="G170" s="9" t="n">
        <x:f>SUMIF('Kreise_2015'!$C$2:$C$403,A170,'Kreise_2015'!$H$2:$H$403)</x:f>
        <x:v>1</x:v>
      </x:c>
    </x:row>
    <x:row r="171" ht="24" customHeight="1">
      <x:c r="A171" s="2" t="n">
        <x:v>171</x:v>
      </x:c>
      <x:c r="B171" s="2" t="str">
        <x:v>Regensburg</x:v>
      </x:c>
      <x:c r="C171" s="7" t="n">
        <x:f>COUNTIF('Kreise_2015'!$C$2:$C$403,A171)</x:f>
        <x:v>2</x:v>
      </x:c>
      <x:c r="D171" s="7" t="n">
        <x:f>SUMIF('Kreise_2015'!$C$2:$C$403,A171,'Kreise_2015'!$F$2:$F$403)</x:f>
        <x:v>116325</x:v>
      </x:c>
      <x:c r="E171" s="8" t="n">
        <x:f>SUMIF('Kreise_2015'!$C$2:$C$403,A171,'Kreise_2015'!$G$2:$G$403)/D171</x:f>
        <x:v>3364.388834856769</x:v>
      </x:c>
      <x:c r="F171" s="2" t="n">
        <x:v>2015</x:v>
      </x:c>
      <x:c r="G171" s="9" t="n">
        <x:f>SUMIF('Kreise_2015'!$C$2:$C$403,A171,'Kreise_2015'!$H$2:$H$403)</x:f>
        <x:v>1</x:v>
      </x:c>
    </x:row>
    <x:row r="172" ht="24" customHeight="1">
      <x:c r="A172" s="2" t="n">
        <x:v>172</x:v>
      </x:c>
      <x:c r="B172" s="2" t="str">
        <x:v>Schwandorf</x:v>
      </x:c>
      <x:c r="C172" s="7" t="n">
        <x:f>COUNTIF('Kreise_2015'!$C$2:$C$403,A172)</x:f>
        <x:v>1</x:v>
      </x:c>
      <x:c r="D172" s="7" t="n">
        <x:f>SUMIF('Kreise_2015'!$C$2:$C$403,A172,'Kreise_2015'!$F$2:$F$403)</x:f>
        <x:v>40555</x:v>
      </x:c>
      <x:c r="E172" s="8" t="n">
        <x:f>SUMIF('Kreise_2015'!$C$2:$C$403,A172,'Kreise_2015'!$G$2:$G$403)/D172</x:f>
        <x:v>2847.1178521617853</x:v>
      </x:c>
      <x:c r="F172" s="2" t="n">
        <x:v>2015</x:v>
      </x:c>
      <x:c r="G172" s="9" t="n">
        <x:f>SUMIF('Kreise_2015'!$C$2:$C$403,A172,'Kreise_2015'!$H$2:$H$403)</x:f>
        <x:v>1</x:v>
      </x:c>
    </x:row>
    <x:row r="173" ht="24" customHeight="1">
      <x:c r="A173" s="2" t="n">
        <x:v>173</x:v>
      </x:c>
      <x:c r="B173" s="2" t="str">
        <x:v>Amberg</x:v>
      </x:c>
      <x:c r="C173" s="7" t="n">
        <x:f>COUNTIF('Kreise_2015'!$C$2:$C$403,A173)</x:f>
        <x:v>2</x:v>
      </x:c>
      <x:c r="D173" s="7" t="n">
        <x:f>SUMIF('Kreise_2015'!$C$2:$C$403,A173,'Kreise_2015'!$F$2:$F$403)</x:f>
        <x:v>38950</x:v>
      </x:c>
      <x:c r="E173" s="8" t="n">
        <x:f>SUMIF('Kreise_2015'!$C$2:$C$403,A173,'Kreise_2015'!$G$2:$G$403)/D173</x:f>
        <x:v>3139.3012290328948</x:v>
      </x:c>
      <x:c r="F173" s="2" t="n">
        <x:v>2015</x:v>
      </x:c>
      <x:c r="G173" s="9" t="n">
        <x:f>SUMIF('Kreise_2015'!$C$2:$C$403,A173,'Kreise_2015'!$H$2:$H$403)</x:f>
        <x:v>1</x:v>
      </x:c>
    </x:row>
    <x:row r="174" ht="24" customHeight="1">
      <x:c r="A174" s="2" t="n">
        <x:v>174</x:v>
      </x:c>
      <x:c r="B174" s="2" t="str">
        <x:v>Neumarkt</x:v>
      </x:c>
      <x:c r="C174" s="7" t="n">
        <x:f>COUNTIF('Kreise_2015'!$C$2:$C$403,A174)</x:f>
        <x:v>1</x:v>
      </x:c>
      <x:c r="D174" s="7" t="n">
        <x:f>SUMIF('Kreise_2015'!$C$2:$C$403,A174,'Kreise_2015'!$F$2:$F$403)</x:f>
        <x:v>34148</x:v>
      </x:c>
      <x:c r="E174" s="8" t="n">
        <x:f>SUMIF('Kreise_2015'!$C$2:$C$403,A174,'Kreise_2015'!$G$2:$G$403)/D174</x:f>
        <x:v>3046.447030497592</x:v>
      </x:c>
      <x:c r="F174" s="2" t="n">
        <x:v>2015</x:v>
      </x:c>
      <x:c r="G174" s="9" t="n">
        <x:f>SUMIF('Kreise_2015'!$C$2:$C$403,A174,'Kreise_2015'!$H$2:$H$403)</x:f>
        <x:v>1</x:v>
      </x:c>
    </x:row>
    <x:row r="175" ht="24" customHeight="1">
      <x:c r="A175" s="2" t="n">
        <x:v>175</x:v>
      </x:c>
      <x:c r="B175" s="2" t="str">
        <x:v>Weiden</x:v>
      </x:c>
      <x:c r="C175" s="7" t="n">
        <x:f>COUNTIF('Kreise_2015'!$C$2:$C$403,A175)</x:f>
        <x:v>2</x:v>
      </x:c>
      <x:c r="D175" s="7" t="n">
        <x:f>SUMIF('Kreise_2015'!$C$2:$C$403,A175,'Kreise_2015'!$F$2:$F$403)</x:f>
        <x:v>40285</x:v>
      </x:c>
      <x:c r="E175" s="8" t="n">
        <x:f>SUMIF('Kreise_2015'!$C$2:$C$403,A175,'Kreise_2015'!$G$2:$G$403)/D175</x:f>
        <x:v>2801.3059056384836</x:v>
      </x:c>
      <x:c r="F175" s="2" t="n">
        <x:v>2015</x:v>
      </x:c>
      <x:c r="G175" s="9" t="n">
        <x:f>SUMIF('Kreise_2015'!$C$2:$C$403,A175,'Kreise_2015'!$H$2:$H$403)</x:f>
        <x:v>1</x:v>
      </x:c>
    </x:row>
    <x:row r="176" ht="24" customHeight="1">
      <x:c r="A176" s="2" t="n">
        <x:v>176</x:v>
      </x:c>
      <x:c r="B176" s="2" t="str">
        <x:v>Marktredwitz</x:v>
      </x:c>
      <x:c r="C176" s="7" t="n">
        <x:f>COUNTIF('Kreise_2015'!$C$2:$C$403,A176)</x:f>
        <x:v>2</x:v>
      </x:c>
      <x:c r="D176" s="7" t="n">
        <x:f>SUMIF('Kreise_2015'!$C$2:$C$403,A176,'Kreise_2015'!$F$2:$F$403)</x:f>
        <x:v>38113</x:v>
      </x:c>
      <x:c r="E176" s="8" t="n">
        <x:f>SUMIF('Kreise_2015'!$C$2:$C$403,A176,'Kreise_2015'!$G$2:$G$403)/D176</x:f>
        <x:v>2802.7978225059974</x:v>
      </x:c>
      <x:c r="F176" s="2" t="n">
        <x:v>2015</x:v>
      </x:c>
      <x:c r="G176" s="9" t="n">
        <x:f>SUMIF('Kreise_2015'!$C$2:$C$403,A176,'Kreise_2015'!$H$2:$H$403)</x:f>
        <x:v>1</x:v>
      </x:c>
    </x:row>
    <x:row r="177" ht="24" customHeight="1">
      <x:c r="A177" s="2" t="n">
        <x:v>177</x:v>
      </x:c>
      <x:c r="B177" s="2" t="str">
        <x:v>Hof</x:v>
      </x:c>
      <x:c r="C177" s="7" t="n">
        <x:f>COUNTIF('Kreise_2015'!$C$2:$C$403,A177)</x:f>
        <x:v>2</x:v>
      </x:c>
      <x:c r="D177" s="7" t="n">
        <x:f>SUMIF('Kreise_2015'!$C$2:$C$403,A177,'Kreise_2015'!$F$2:$F$403)</x:f>
        <x:v>42856</x:v>
      </x:c>
      <x:c r="E177" s="8" t="n">
        <x:f>SUMIF('Kreise_2015'!$C$2:$C$403,A177,'Kreise_2015'!$G$2:$G$403)/D177</x:f>
        <x:v>2582.07605579595</x:v>
      </x:c>
      <x:c r="F177" s="2" t="n">
        <x:v>2015</x:v>
      </x:c>
      <x:c r="G177" s="9" t="n">
        <x:f>SUMIF('Kreise_2015'!$C$2:$C$403,A177,'Kreise_2015'!$H$2:$H$403)</x:f>
        <x:v>1</x:v>
      </x:c>
    </x:row>
    <x:row r="178" ht="24" customHeight="1">
      <x:c r="A178" s="2" t="n">
        <x:v>178</x:v>
      </x:c>
      <x:c r="B178" s="2" t="str">
        <x:v>Bayreuth</x:v>
      </x:c>
      <x:c r="C178" s="7" t="n">
        <x:f>COUNTIF('Kreise_2015'!$C$2:$C$403,A178)</x:f>
        <x:v>2</x:v>
      </x:c>
      <x:c r="D178" s="7" t="n">
        <x:f>SUMIF('Kreise_2015'!$C$2:$C$403,A178,'Kreise_2015'!$F$2:$F$403)</x:f>
        <x:v>46791</x:v>
      </x:c>
      <x:c r="E178" s="8" t="n">
        <x:f>SUMIF('Kreise_2015'!$C$2:$C$403,A178,'Kreise_2015'!$G$2:$G$403)/D178</x:f>
        <x:v>2944.2868032596703</x:v>
      </x:c>
      <x:c r="F178" s="2" t="n">
        <x:v>2015</x:v>
      </x:c>
      <x:c r="G178" s="9" t="n">
        <x:f>SUMIF('Kreise_2015'!$C$2:$C$403,A178,'Kreise_2015'!$H$2:$H$403)</x:f>
        <x:v>1</x:v>
      </x:c>
    </x:row>
    <x:row r="179" ht="24" customHeight="1">
      <x:c r="A179" s="2" t="n">
        <x:v>179</x:v>
      </x:c>
      <x:c r="B179" s="2" t="str">
        <x:v>Bamberg</x:v>
      </x:c>
      <x:c r="C179" s="7" t="n">
        <x:f>COUNTIF('Kreise_2015'!$C$2:$C$403,A179)</x:f>
        <x:v>2</x:v>
      </x:c>
      <x:c r="D179" s="7" t="n">
        <x:f>SUMIF('Kreise_2015'!$C$2:$C$403,A179,'Kreise_2015'!$F$2:$F$403)</x:f>
        <x:v>63332</x:v>
      </x:c>
      <x:c r="E179" s="8" t="n">
        <x:f>SUMIF('Kreise_2015'!$C$2:$C$403,A179,'Kreise_2015'!$G$2:$G$403)/D179</x:f>
        <x:v>3038.4875967465186</x:v>
      </x:c>
      <x:c r="F179" s="2" t="n">
        <x:v>2015</x:v>
      </x:c>
      <x:c r="G179" s="9" t="n">
        <x:f>SUMIF('Kreise_2015'!$C$2:$C$403,A179,'Kreise_2015'!$H$2:$H$403)</x:f>
        <x:v>1</x:v>
      </x:c>
    </x:row>
    <x:row r="180" ht="24" customHeight="1">
      <x:c r="A180" s="2" t="n">
        <x:v>180</x:v>
      </x:c>
      <x:c r="B180" s="2" t="str">
        <x:v>Kulmbach</x:v>
      </x:c>
      <x:c r="C180" s="7" t="n">
        <x:f>COUNTIF('Kreise_2015'!$C$2:$C$403,A180)</x:f>
        <x:v>1</x:v>
      </x:c>
      <x:c r="D180" s="7" t="n">
        <x:f>SUMIF('Kreise_2015'!$C$2:$C$403,A180,'Kreise_2015'!$F$2:$F$403)</x:f>
        <x:v>19061</x:v>
      </x:c>
      <x:c r="E180" s="8" t="n">
        <x:f>SUMIF('Kreise_2015'!$C$2:$C$403,A180,'Kreise_2015'!$G$2:$G$403)/D180</x:f>
        <x:v>2825.0042492917846</x:v>
      </x:c>
      <x:c r="F180" s="2" t="n">
        <x:v>2015</x:v>
      </x:c>
      <x:c r="G180" s="9" t="n">
        <x:f>SUMIF('Kreise_2015'!$C$2:$C$403,A180,'Kreise_2015'!$H$2:$H$403)</x:f>
        <x:v>1</x:v>
      </x:c>
    </x:row>
    <x:row r="181" ht="24" customHeight="1">
      <x:c r="A181" s="2" t="n">
        <x:v>181</x:v>
      </x:c>
      <x:c r="B181" s="2" t="str">
        <x:v>Kronach</x:v>
      </x:c>
      <x:c r="C181" s="7" t="n">
        <x:f>COUNTIF('Kreise_2015'!$C$2:$C$403,A181)</x:f>
        <x:v>1</x:v>
      </x:c>
      <x:c r="D181" s="7" t="n">
        <x:f>SUMIF('Kreise_2015'!$C$2:$C$403,A181,'Kreise_2015'!$F$2:$F$403)</x:f>
        <x:v>18585</x:v>
      </x:c>
      <x:c r="E181" s="8" t="n">
        <x:f>SUMIF('Kreise_2015'!$C$2:$C$403,A181,'Kreise_2015'!$G$2:$G$403)/D181</x:f>
        <x:v>2589.0245901639346</x:v>
      </x:c>
      <x:c r="F181" s="2" t="n">
        <x:v>2015</x:v>
      </x:c>
      <x:c r="G181" s="9" t="n">
        <x:f>SUMIF('Kreise_2015'!$C$2:$C$403,A181,'Kreise_2015'!$H$2:$H$403)</x:f>
        <x:v>1</x:v>
      </x:c>
    </x:row>
    <x:row r="182" ht="24" customHeight="1">
      <x:c r="A182" s="2" t="n">
        <x:v>182</x:v>
      </x:c>
      <x:c r="B182" s="2" t="str">
        <x:v>Coburg</x:v>
      </x:c>
      <x:c r="C182" s="7" t="n">
        <x:f>COUNTIF('Kreise_2015'!$C$2:$C$403,A182)</x:f>
        <x:v>2</x:v>
      </x:c>
      <x:c r="D182" s="7" t="n">
        <x:f>SUMIF('Kreise_2015'!$C$2:$C$403,A182,'Kreise_2015'!$F$2:$F$403)</x:f>
        <x:v>46213</x:v>
      </x:c>
      <x:c r="E182" s="8" t="n">
        <x:f>SUMIF('Kreise_2015'!$C$2:$C$403,A182,'Kreise_2015'!$G$2:$G$403)/D182</x:f>
        <x:v>2997.8558534516983</x:v>
      </x:c>
      <x:c r="F182" s="2" t="n">
        <x:v>2015</x:v>
      </x:c>
      <x:c r="G182" s="9" t="n">
        <x:f>SUMIF('Kreise_2015'!$C$2:$C$403,A182,'Kreise_2015'!$H$2:$H$403)</x:f>
        <x:v>1</x:v>
      </x:c>
    </x:row>
    <x:row r="183" ht="24" customHeight="1">
      <x:c r="A183" s="2" t="n">
        <x:v>183</x:v>
      </x:c>
      <x:c r="B183" s="2" t="str">
        <x:v>Lichtenfels</x:v>
      </x:c>
      <x:c r="C183" s="7" t="n">
        <x:f>COUNTIF('Kreise_2015'!$C$2:$C$403,A183)</x:f>
        <x:v>1</x:v>
      </x:c>
      <x:c r="D183" s="7" t="n">
        <x:f>SUMIF('Kreise_2015'!$C$2:$C$403,A183,'Kreise_2015'!$F$2:$F$403)</x:f>
        <x:v>19623</x:v>
      </x:c>
      <x:c r="E183" s="8" t="n">
        <x:f>SUMIF('Kreise_2015'!$C$2:$C$403,A183,'Kreise_2015'!$G$2:$G$403)/D183</x:f>
        <x:v>2576.1521739130435</x:v>
      </x:c>
      <x:c r="F183" s="2" t="n">
        <x:v>2015</x:v>
      </x:c>
      <x:c r="G183" s="9" t="n">
        <x:f>SUMIF('Kreise_2015'!$C$2:$C$403,A183,'Kreise_2015'!$H$2:$H$403)</x:f>
        <x:v>1</x:v>
      </x:c>
    </x:row>
    <x:row r="184" ht="24" customHeight="1">
      <x:c r="A184" s="2" t="n">
        <x:v>184</x:v>
      </x:c>
      <x:c r="B184" s="2" t="str">
        <x:v>Erlangen</x:v>
      </x:c>
      <x:c r="C184" s="7" t="n">
        <x:f>COUNTIF('Kreise_2015'!$C$2:$C$403,A184)</x:f>
        <x:v>3</x:v>
      </x:c>
      <x:c r="D184" s="7" t="n">
        <x:f>SUMIF('Kreise_2015'!$C$2:$C$403,A184,'Kreise_2015'!$F$2:$F$403)</x:f>
        <x:v>121759</x:v>
      </x:c>
      <x:c r="E184" s="8" t="n">
        <x:f>SUMIF('Kreise_2015'!$C$2:$C$403,A184,'Kreise_2015'!$G$2:$G$403)/D184</x:f>
        <x:v>3993.2132228842124</x:v>
      </x:c>
      <x:c r="F184" s="2" t="n">
        <x:v>2015</x:v>
      </x:c>
      <x:c r="G184" s="9" t="n">
        <x:f>SUMIF('Kreise_2015'!$C$2:$C$403,A184,'Kreise_2015'!$H$2:$H$403)</x:f>
        <x:v>1</x:v>
      </x:c>
    </x:row>
    <x:row r="185" ht="24" customHeight="1">
      <x:c r="A185" s="2" t="n">
        <x:v>185</x:v>
      </x:c>
      <x:c r="B185" s="2" t="str">
        <x:v>Nürnberg</x:v>
      </x:c>
      <x:c r="C185" s="7" t="n">
        <x:f>COUNTIF('Kreise_2015'!$C$2:$C$403,A185)</x:f>
        <x:v>6</x:v>
      </x:c>
      <x:c r="D185" s="7" t="n">
        <x:f>SUMIF('Kreise_2015'!$C$2:$C$403,A185,'Kreise_2015'!$F$2:$F$403)</x:f>
        <x:v>339539</x:v>
      </x:c>
      <x:c r="E185" s="8" t="n">
        <x:f>SUMIF('Kreise_2015'!$C$2:$C$403,A185,'Kreise_2015'!$G$2:$G$403)/D185</x:f>
        <x:v>3219.36206104595</x:v>
      </x:c>
      <x:c r="F185" s="2" t="n">
        <x:v>2015</x:v>
      </x:c>
      <x:c r="G185" s="9" t="n">
        <x:f>SUMIF('Kreise_2015'!$C$2:$C$403,A185,'Kreise_2015'!$H$2:$H$403)</x:f>
        <x:v>1</x:v>
      </x:c>
    </x:row>
    <x:row r="186" ht="24" customHeight="1">
      <x:c r="A186" s="2" t="n">
        <x:v>186</x:v>
      </x:c>
      <x:c r="B186" s="2" t="str">
        <x:v>Weißenburg-Gunzenhausen</x:v>
      </x:c>
      <x:c r="C186" s="7" t="n">
        <x:f>COUNTIF('Kreise_2015'!$C$2:$C$403,A186)</x:f>
        <x:v>1</x:v>
      </x:c>
      <x:c r="D186" s="7" t="n">
        <x:f>SUMIF('Kreise_2015'!$C$2:$C$403,A186,'Kreise_2015'!$F$2:$F$403)</x:f>
        <x:v>22411</x:v>
      </x:c>
      <x:c r="E186" s="8" t="n">
        <x:f>SUMIF('Kreise_2015'!$C$2:$C$403,A186,'Kreise_2015'!$G$2:$G$403)/D186</x:f>
        <x:v>2955.51269035533</x:v>
      </x:c>
      <x:c r="F186" s="2" t="n">
        <x:v>2015</x:v>
      </x:c>
      <x:c r="G186" s="9" t="n">
        <x:f>SUMIF('Kreise_2015'!$C$2:$C$403,A186,'Kreise_2015'!$H$2:$H$403)</x:f>
        <x:v>1</x:v>
      </x:c>
    </x:row>
    <x:row r="187" ht="24" customHeight="1">
      <x:c r="A187" s="2" t="n">
        <x:v>187</x:v>
      </x:c>
      <x:c r="B187" s="2" t="str">
        <x:v>Ansbach</x:v>
      </x:c>
      <x:c r="C187" s="7" t="n">
        <x:f>COUNTIF('Kreise_2015'!$C$2:$C$403,A187)</x:f>
        <x:v>2</x:v>
      </x:c>
      <x:c r="D187" s="7" t="n">
        <x:f>SUMIF('Kreise_2015'!$C$2:$C$403,A187,'Kreise_2015'!$F$2:$F$403)</x:f>
        <x:v>61976</x:v>
      </x:c>
      <x:c r="E187" s="8" t="n">
        <x:f>SUMIF('Kreise_2015'!$C$2:$C$403,A187,'Kreise_2015'!$G$2:$G$403)/D187</x:f>
        <x:v>2835.2140205407213</x:v>
      </x:c>
      <x:c r="F187" s="2" t="n">
        <x:v>2015</x:v>
      </x:c>
      <x:c r="G187" s="9" t="n">
        <x:f>SUMIF('Kreise_2015'!$C$2:$C$403,A187,'Kreise_2015'!$H$2:$H$403)</x:f>
        <x:v>1</x:v>
      </x:c>
    </x:row>
    <x:row r="188" ht="24" customHeight="1">
      <x:c r="A188" s="2" t="n">
        <x:v>188</x:v>
      </x:c>
      <x:c r="B188" s="2" t="str">
        <x:v>Neustadt/Aisch</x:v>
      </x:c>
      <x:c r="C188" s="7" t="n">
        <x:f>COUNTIF('Kreise_2015'!$C$2:$C$403,A188)</x:f>
        <x:v>1</x:v>
      </x:c>
      <x:c r="D188" s="7" t="n">
        <x:f>SUMIF('Kreise_2015'!$C$2:$C$403,A188,'Kreise_2015'!$F$2:$F$403)</x:f>
        <x:v>21655</x:v>
      </x:c>
      <x:c r="E188" s="8" t="n">
        <x:f>SUMIF('Kreise_2015'!$C$2:$C$403,A188,'Kreise_2015'!$G$2:$G$403)/D188</x:f>
        <x:v>2634.2239583333335</x:v>
      </x:c>
      <x:c r="F188" s="2" t="n">
        <x:v>2015</x:v>
      </x:c>
      <x:c r="G188" s="9" t="n">
        <x:f>SUMIF('Kreise_2015'!$C$2:$C$403,A188,'Kreise_2015'!$H$2:$H$403)</x:f>
        <x:v>1</x:v>
      </x:c>
    </x:row>
    <x:row r="189" ht="24" customHeight="1">
      <x:c r="A189" s="2" t="n">
        <x:v>189</x:v>
      </x:c>
      <x:c r="B189" s="2" t="str">
        <x:v>Kitzingen</x:v>
      </x:c>
      <x:c r="C189" s="7" t="n">
        <x:f>COUNTIF('Kreise_2015'!$C$2:$C$403,A189)</x:f>
        <x:v>1</x:v>
      </x:c>
      <x:c r="D189" s="7" t="n">
        <x:f>SUMIF('Kreise_2015'!$C$2:$C$403,A189,'Kreise_2015'!$F$2:$F$403)</x:f>
        <x:v>21899</x:v>
      </x:c>
      <x:c r="E189" s="8" t="n">
        <x:f>SUMIF('Kreise_2015'!$C$2:$C$403,A189,'Kreise_2015'!$G$2:$G$403)/D189</x:f>
        <x:v>2944.194362017804</x:v>
      </x:c>
      <x:c r="F189" s="2" t="n">
        <x:v>2015</x:v>
      </x:c>
      <x:c r="G189" s="9" t="n">
        <x:f>SUMIF('Kreise_2015'!$C$2:$C$403,A189,'Kreise_2015'!$H$2:$H$403)</x:f>
        <x:v>1</x:v>
      </x:c>
    </x:row>
    <x:row r="190" ht="24" customHeight="1">
      <x:c r="A190" s="2" t="n">
        <x:v>190</x:v>
      </x:c>
      <x:c r="B190" s="2" t="str">
        <x:v>Würzburg</x:v>
      </x:c>
      <x:c r="C190" s="7" t="n">
        <x:f>COUNTIF('Kreise_2015'!$C$2:$C$403,A190)</x:f>
        <x:v>2</x:v>
      </x:c>
      <x:c r="D190" s="7" t="n">
        <x:f>SUMIF('Kreise_2015'!$C$2:$C$403,A190,'Kreise_2015'!$F$2:$F$403)</x:f>
        <x:v>84248</x:v>
      </x:c>
      <x:c r="E190" s="8" t="n">
        <x:f>SUMIF('Kreise_2015'!$C$2:$C$403,A190,'Kreise_2015'!$G$2:$G$403)/D190</x:f>
        <x:v>3085.4897088504276</x:v>
      </x:c>
      <x:c r="F190" s="2" t="n">
        <x:v>2015</x:v>
      </x:c>
      <x:c r="G190" s="9" t="n">
        <x:f>SUMIF('Kreise_2015'!$C$2:$C$403,A190,'Kreise_2015'!$H$2:$H$403)</x:f>
        <x:v>1</x:v>
      </x:c>
    </x:row>
    <x:row r="191" ht="24" customHeight="1">
      <x:c r="A191" s="2" t="n">
        <x:v>191</x:v>
      </x:c>
      <x:c r="B191" s="2" t="str">
        <x:v>Schweinfurt</x:v>
      </x:c>
      <x:c r="C191" s="7" t="n">
        <x:f>COUNTIF('Kreise_2015'!$C$2:$C$403,A191)</x:f>
        <x:v>2</x:v>
      </x:c>
      <x:c r="D191" s="7" t="n">
        <x:f>SUMIF('Kreise_2015'!$C$2:$C$403,A191,'Kreise_2015'!$F$2:$F$403)</x:f>
        <x:v>59098</x:v>
      </x:c>
      <x:c r="E191" s="8" t="n">
        <x:f>SUMIF('Kreise_2015'!$C$2:$C$403,A191,'Kreise_2015'!$G$2:$G$403)/D191</x:f>
        <x:v>3501.1285734046173</x:v>
      </x:c>
      <x:c r="F191" s="2" t="n">
        <x:v>2015</x:v>
      </x:c>
      <x:c r="G191" s="9" t="n">
        <x:f>SUMIF('Kreise_2015'!$C$2:$C$403,A191,'Kreise_2015'!$H$2:$H$403)</x:f>
        <x:v>1</x:v>
      </x:c>
    </x:row>
    <x:row r="192" ht="24" customHeight="1">
      <x:c r="A192" s="2" t="n">
        <x:v>192</x:v>
      </x:c>
      <x:c r="B192" s="2" t="str">
        <x:v>Haßfurt</x:v>
      </x:c>
      <x:c r="C192" s="7" t="n">
        <x:f>COUNTIF('Kreise_2015'!$C$2:$C$403,A192)</x:f>
        <x:v>1</x:v>
      </x:c>
      <x:c r="D192" s="7" t="n">
        <x:f>SUMIF('Kreise_2015'!$C$2:$C$403,A192,'Kreise_2015'!$F$2:$F$403)</x:f>
        <x:v>19302</x:v>
      </x:c>
      <x:c r="E192" s="8" t="n">
        <x:f>SUMIF('Kreise_2015'!$C$2:$C$403,A192,'Kreise_2015'!$G$2:$G$403)/D192</x:f>
        <x:v>2980.7380952380954</x:v>
      </x:c>
      <x:c r="F192" s="2" t="n">
        <x:v>2015</x:v>
      </x:c>
      <x:c r="G192" s="9" t="n">
        <x:f>SUMIF('Kreise_2015'!$C$2:$C$403,A192,'Kreise_2015'!$H$2:$H$403)</x:f>
        <x:v>1</x:v>
      </x:c>
    </x:row>
    <x:row r="193" ht="24" customHeight="1">
      <x:c r="A193" s="2" t="n">
        <x:v>193</x:v>
      </x:c>
      <x:c r="B193" s="2" t="str">
        <x:v>Bad Neustadt/Saale</x:v>
      </x:c>
      <x:c r="C193" s="7" t="n">
        <x:f>COUNTIF('Kreise_2015'!$C$2:$C$403,A193)</x:f>
        <x:v>1</x:v>
      </x:c>
      <x:c r="D193" s="7" t="n">
        <x:f>SUMIF('Kreise_2015'!$C$2:$C$403,A193,'Kreise_2015'!$F$2:$F$403)</x:f>
        <x:v>22090</x:v>
      </x:c>
      <x:c r="E193" s="8" t="n">
        <x:f>SUMIF('Kreise_2015'!$C$2:$C$403,A193,'Kreise_2015'!$G$2:$G$403)/D193</x:f>
        <x:v>2974.3786279683377</x:v>
      </x:c>
      <x:c r="F193" s="2" t="n">
        <x:v>2015</x:v>
      </x:c>
      <x:c r="G193" s="9" t="n">
        <x:f>SUMIF('Kreise_2015'!$C$2:$C$403,A193,'Kreise_2015'!$H$2:$H$403)</x:f>
        <x:v>1</x:v>
      </x:c>
    </x:row>
    <x:row r="194" ht="24" customHeight="1">
      <x:c r="A194" s="2" t="n">
        <x:v>194</x:v>
      </x:c>
      <x:c r="B194" s="2" t="str">
        <x:v>Bad Kissingen</x:v>
      </x:c>
      <x:c r="C194" s="7" t="n">
        <x:f>COUNTIF('Kreise_2015'!$C$2:$C$403,A194)</x:f>
        <x:v>1</x:v>
      </x:c>
      <x:c r="D194" s="7" t="n">
        <x:f>SUMIF('Kreise_2015'!$C$2:$C$403,A194,'Kreise_2015'!$F$2:$F$403)</x:f>
        <x:v>22756</x:v>
      </x:c>
      <x:c r="E194" s="8" t="n">
        <x:f>SUMIF('Kreise_2015'!$C$2:$C$403,A194,'Kreise_2015'!$G$2:$G$403)/D194</x:f>
        <x:v>2783.379818594104</x:v>
      </x:c>
      <x:c r="F194" s="2" t="n">
        <x:v>2015</x:v>
      </x:c>
      <x:c r="G194" s="9" t="n">
        <x:f>SUMIF('Kreise_2015'!$C$2:$C$403,A194,'Kreise_2015'!$H$2:$H$403)</x:f>
        <x:v>1</x:v>
      </x:c>
    </x:row>
    <x:row r="195" ht="24" customHeight="1">
      <x:c r="A195" s="2" t="n">
        <x:v>195</x:v>
      </x:c>
      <x:c r="B195" s="2" t="str">
        <x:v>Lohr am Main</x:v>
      </x:c>
      <x:c r="C195" s="7" t="n">
        <x:f>COUNTIF('Kreise_2015'!$C$2:$C$403,A195)</x:f>
        <x:v>1</x:v>
      </x:c>
      <x:c r="D195" s="7" t="n">
        <x:f>SUMIF('Kreise_2015'!$C$2:$C$403,A195,'Kreise_2015'!$F$2:$F$403)</x:f>
        <x:v>33313</x:v>
      </x:c>
      <x:c r="E195" s="8" t="n">
        <x:f>SUMIF('Kreise_2015'!$C$2:$C$403,A195,'Kreise_2015'!$G$2:$G$403)/D195</x:f>
        <x:v>3292.4938016528927</x:v>
      </x:c>
      <x:c r="F195" s="2" t="n">
        <x:v>2015</x:v>
      </x:c>
      <x:c r="G195" s="9" t="n">
        <x:f>SUMIF('Kreise_2015'!$C$2:$C$403,A195,'Kreise_2015'!$H$2:$H$403)</x:f>
        <x:v>1</x:v>
      </x:c>
    </x:row>
    <x:row r="196" ht="24" customHeight="1">
      <x:c r="A196" s="2" t="n">
        <x:v>196</x:v>
      </x:c>
      <x:c r="B196" s="2" t="str">
        <x:v>Aschaffenburg</x:v>
      </x:c>
      <x:c r="C196" s="7" t="n">
        <x:f>COUNTIF('Kreise_2015'!$C$2:$C$403,A196)</x:f>
        <x:v>3</x:v>
      </x:c>
      <x:c r="D196" s="7" t="n">
        <x:f>SUMIF('Kreise_2015'!$C$2:$C$403,A196,'Kreise_2015'!$F$2:$F$403)</x:f>
        <x:v>99283</x:v>
      </x:c>
      <x:c r="E196" s="8" t="n">
        <x:f>SUMIF('Kreise_2015'!$C$2:$C$403,A196,'Kreise_2015'!$G$2:$G$403)/D196</x:f>
        <x:v>3067.2317846892897</x:v>
      </x:c>
      <x:c r="F196" s="2" t="n">
        <x:v>2015</x:v>
      </x:c>
      <x:c r="G196" s="9" t="n">
        <x:f>SUMIF('Kreise_2015'!$C$2:$C$403,A196,'Kreise_2015'!$H$2:$H$403)</x:f>
        <x:v>1</x:v>
      </x:c>
    </x:row>
    <x:row r="197" ht="24" customHeight="1">
      <x:c r="A197" s="2" t="n">
        <x:v>197</x:v>
      </x:c>
      <x:c r="B197" s="2" t="str">
        <x:v>Donauwörth-Nördlingen</x:v>
      </x:c>
      <x:c r="C197" s="7" t="n">
        <x:f>COUNTIF('Kreise_2015'!$C$2:$C$403,A197)</x:f>
        <x:v>1</x:v>
      </x:c>
      <x:c r="D197" s="7" t="n">
        <x:f>SUMIF('Kreise_2015'!$C$2:$C$403,A197,'Kreise_2015'!$F$2:$F$403)</x:f>
        <x:v>45999</x:v>
      </x:c>
      <x:c r="E197" s="8" t="n">
        <x:f>SUMIF('Kreise_2015'!$C$2:$C$403,A197,'Kreise_2015'!$G$2:$G$403)/D197</x:f>
        <x:v>3228.9711964549483</x:v>
      </x:c>
      <x:c r="F197" s="2" t="n">
        <x:v>2015</x:v>
      </x:c>
      <x:c r="G197" s="9" t="n">
        <x:f>SUMIF('Kreise_2015'!$C$2:$C$403,A197,'Kreise_2015'!$H$2:$H$403)</x:f>
        <x:v>1</x:v>
      </x:c>
    </x:row>
    <x:row r="198" ht="24" customHeight="1">
      <x:c r="A198" s="2" t="n">
        <x:v>198</x:v>
      </x:c>
      <x:c r="B198" s="2" t="str">
        <x:v>Dillingen</x:v>
      </x:c>
      <x:c r="C198" s="7" t="n">
        <x:f>COUNTIF('Kreise_2015'!$C$2:$C$403,A198)</x:f>
        <x:v>1</x:v>
      </x:c>
      <x:c r="D198" s="7" t="n">
        <x:f>SUMIF('Kreise_2015'!$C$2:$C$403,A198,'Kreise_2015'!$F$2:$F$403)</x:f>
        <x:v>22954</x:v>
      </x:c>
      <x:c r="E198" s="8" t="n">
        <x:f>SUMIF('Kreise_2015'!$C$2:$C$403,A198,'Kreise_2015'!$G$2:$G$403)/D198</x:f>
        <x:v>3039.516172506739</x:v>
      </x:c>
      <x:c r="F198" s="2" t="n">
        <x:v>2015</x:v>
      </x:c>
      <x:c r="G198" s="9" t="n">
        <x:f>SUMIF('Kreise_2015'!$C$2:$C$403,A198,'Kreise_2015'!$H$2:$H$403)</x:f>
        <x:v>1</x:v>
      </x:c>
    </x:row>
    <x:row r="199" ht="24" customHeight="1">
      <x:c r="A199" s="2" t="n">
        <x:v>199</x:v>
      </x:c>
      <x:c r="B199" s="2" t="str">
        <x:v>Günzburg</x:v>
      </x:c>
      <x:c r="C199" s="7" t="n">
        <x:f>COUNTIF('Kreise_2015'!$C$2:$C$403,A199)</x:f>
        <x:v>1</x:v>
      </x:c>
      <x:c r="D199" s="7" t="n">
        <x:f>SUMIF('Kreise_2015'!$C$2:$C$403,A199,'Kreise_2015'!$F$2:$F$403)</x:f>
        <x:v>35200</x:v>
      </x:c>
      <x:c r="E199" s="8" t="n">
        <x:f>SUMIF('Kreise_2015'!$C$2:$C$403,A199,'Kreise_2015'!$G$2:$G$403)/D199</x:f>
        <x:v>3010.5</x:v>
      </x:c>
      <x:c r="F199" s="2" t="n">
        <x:v>2015</x:v>
      </x:c>
      <x:c r="G199" s="9" t="n">
        <x:f>SUMIF('Kreise_2015'!$C$2:$C$403,A199,'Kreise_2015'!$H$2:$H$403)</x:f>
        <x:v>1</x:v>
      </x:c>
    </x:row>
    <x:row r="200" ht="24" customHeight="1">
      <x:c r="A200" s="2" t="n">
        <x:v>200</x:v>
      </x:c>
      <x:c r="B200" s="2" t="str">
        <x:v>Augsburg</x:v>
      </x:c>
      <x:c r="C200" s="7" t="n">
        <x:f>COUNTIF('Kreise_2015'!$C$2:$C$403,A200)</x:f>
        <x:v>3</x:v>
      </x:c>
      <x:c r="D200" s="7" t="n">
        <x:f>SUMIF('Kreise_2015'!$C$2:$C$403,A200,'Kreise_2015'!$F$2:$F$403)</x:f>
        <x:v>175466</x:v>
      </x:c>
      <x:c r="E200" s="8" t="n">
        <x:f>SUMIF('Kreise_2015'!$C$2:$C$403,A200,'Kreise_2015'!$G$2:$G$403)/D200</x:f>
        <x:v>3162.3948772347703</x:v>
      </x:c>
      <x:c r="F200" s="2" t="n">
        <x:v>2015</x:v>
      </x:c>
      <x:c r="G200" s="9" t="n">
        <x:f>SUMIF('Kreise_2015'!$C$2:$C$403,A200,'Kreise_2015'!$H$2:$H$403)</x:f>
        <x:v>1</x:v>
      </x:c>
    </x:row>
    <x:row r="201" ht="24" customHeight="1">
      <x:c r="A201" s="2" t="n">
        <x:v>201</x:v>
      </x:c>
      <x:c r="B201" s="2" t="str">
        <x:v>Memmingen</x:v>
      </x:c>
      <x:c r="C201" s="7" t="n">
        <x:f>COUNTIF('Kreise_2015'!$C$2:$C$403,A201)</x:f>
        <x:v>2</x:v>
      </x:c>
      <x:c r="D201" s="7" t="n">
        <x:f>SUMIF('Kreise_2015'!$C$2:$C$403,A201,'Kreise_2015'!$F$2:$F$403)</x:f>
        <x:v>57806</x:v>
      </x:c>
      <x:c r="E201" s="8" t="n">
        <x:f>SUMIF('Kreise_2015'!$C$2:$C$403,A201,'Kreise_2015'!$G$2:$G$403)/D201</x:f>
        <x:v>3140.2776207344486</x:v>
      </x:c>
      <x:c r="F201" s="2" t="n">
        <x:v>2015</x:v>
      </x:c>
      <x:c r="G201" s="9" t="n">
        <x:f>SUMIF('Kreise_2015'!$C$2:$C$403,A201,'Kreise_2015'!$H$2:$H$403)</x:f>
        <x:v>1</x:v>
      </x:c>
    </x:row>
    <x:row r="202" ht="24" customHeight="1">
      <x:c r="A202" s="2" t="n">
        <x:v>202</x:v>
      </x:c>
      <x:c r="B202" s="2" t="str">
        <x:v>Kaufbeuren</x:v>
      </x:c>
      <x:c r="C202" s="7" t="n">
        <x:f>COUNTIF('Kreise_2015'!$C$2:$C$403,A202)</x:f>
        <x:v>2</x:v>
      </x:c>
      <x:c r="D202" s="7" t="n">
        <x:f>SUMIF('Kreise_2015'!$C$2:$C$403,A202,'Kreise_2015'!$F$2:$F$403)</x:f>
        <x:v>45960</x:v>
      </x:c>
      <x:c r="E202" s="8" t="n">
        <x:f>SUMIF('Kreise_2015'!$C$2:$C$403,A202,'Kreise_2015'!$G$2:$G$403)/D202</x:f>
        <x:v>3038.8958518858035</x:v>
      </x:c>
      <x:c r="F202" s="2" t="n">
        <x:v>2015</x:v>
      </x:c>
      <x:c r="G202" s="9" t="n">
        <x:f>SUMIF('Kreise_2015'!$C$2:$C$403,A202,'Kreise_2015'!$H$2:$H$403)</x:f>
        <x:v>1</x:v>
      </x:c>
    </x:row>
    <x:row r="203" ht="24" customHeight="1">
      <x:c r="A203" s="2" t="n">
        <x:v>203</x:v>
      </x:c>
      <x:c r="B203" s="2" t="str">
        <x:v>Kempten</x:v>
      </x:c>
      <x:c r="C203" s="7" t="n">
        <x:f>COUNTIF('Kreise_2015'!$C$2:$C$403,A203)</x:f>
        <x:v>2</x:v>
      </x:c>
      <x:c r="D203" s="7" t="n">
        <x:f>SUMIF('Kreise_2015'!$C$2:$C$403,A203,'Kreise_2015'!$F$2:$F$403)</x:f>
        <x:v>61338</x:v>
      </x:c>
      <x:c r="E203" s="8" t="n">
        <x:f>SUMIF('Kreise_2015'!$C$2:$C$403,A203,'Kreise_2015'!$G$2:$G$403)/D203</x:f>
        <x:v>2915.743275468761</x:v>
      </x:c>
      <x:c r="F203" s="2" t="n">
        <x:v>2015</x:v>
      </x:c>
      <x:c r="G203" s="9" t="n">
        <x:f>SUMIF('Kreise_2015'!$C$2:$C$403,A203,'Kreise_2015'!$H$2:$H$403)</x:f>
        <x:v>1</x:v>
      </x:c>
    </x:row>
    <x:row r="204" ht="24" customHeight="1">
      <x:c r="A204" s="2" t="n">
        <x:v>204</x:v>
      </x:c>
      <x:c r="B204" s="2" t="str">
        <x:v>Lindau</x:v>
      </x:c>
      <x:c r="C204" s="7" t="n">
        <x:f>COUNTIF('Kreise_2015'!$C$2:$C$403,A204)</x:f>
        <x:v>1</x:v>
      </x:c>
      <x:c r="D204" s="7" t="n">
        <x:f>SUMIF('Kreise_2015'!$C$2:$C$403,A204,'Kreise_2015'!$F$2:$F$403)</x:f>
        <x:v>22505</x:v>
      </x:c>
      <x:c r="E204" s="8" t="n">
        <x:f>SUMIF('Kreise_2015'!$C$2:$C$403,A204,'Kreise_2015'!$G$2:$G$403)/D204</x:f>
        <x:v>3209.894409937888</x:v>
      </x:c>
      <x:c r="F204" s="2" t="n">
        <x:v>2015</x:v>
      </x:c>
      <x:c r="G204" s="9" t="n">
        <x:f>SUMIF('Kreise_2015'!$C$2:$C$403,A204,'Kreise_2015'!$H$2:$H$403)</x:f>
        <x:v>1</x:v>
      </x:c>
    </x:row>
    <x:row r="205" ht="24" customHeight="1">
      <x:c r="A205" s="2" t="n">
        <x:v>205</x:v>
      </x:c>
      <x:c r="B205" s="2" t="str">
        <x:v>Berlin</x:v>
      </x:c>
      <x:c r="C205" s="7" t="n">
        <x:f>COUNTIF('Kreise_2015'!$C$2:$C$403,A205)</x:f>
        <x:v>1</x:v>
      </x:c>
      <x:c r="D205" s="7" t="n">
        <x:f>SUMIF('Kreise_2015'!$C$2:$C$403,A205,'Kreise_2015'!$F$2:$F$403)</x:f>
        <x:v>912507</x:v>
      </x:c>
      <x:c r="E205" s="8" t="n">
        <x:f>SUMIF('Kreise_2015'!$C$2:$C$403,A205,'Kreise_2015'!$G$2:$G$403)/D205</x:f>
        <x:v>2973.5670327754533</x:v>
      </x:c>
      <x:c r="F205" s="2" t="n">
        <x:v>2015</x:v>
      </x:c>
      <x:c r="G205" s="9" t="n">
        <x:f>SUMIF('Kreise_2015'!$C$2:$C$403,A205,'Kreise_2015'!$H$2:$H$403)</x:f>
        <x:v>1</x:v>
      </x:c>
    </x:row>
    <x:row r="206" ht="24" customHeight="1">
      <x:c r="A206" s="2" t="n">
        <x:v>206</x:v>
      </x:c>
      <x:c r="B206" s="2" t="str">
        <x:v>Potsdam-Brandenburg</x:v>
      </x:c>
      <x:c r="C206" s="7" t="n">
        <x:f>COUNTIF('Kreise_2015'!$C$2:$C$403,A206)</x:f>
        <x:v>4</x:v>
      </x:c>
      <x:c r="D206" s="7" t="n">
        <x:f>SUMIF('Kreise_2015'!$C$2:$C$403,A206,'Kreise_2015'!$F$2:$F$403)</x:f>
        <x:v>148971</x:v>
      </x:c>
      <x:c r="E206" s="8" t="n">
        <x:f>SUMIF('Kreise_2015'!$C$2:$C$403,A206,'Kreise_2015'!$G$2:$G$403)/D206</x:f>
        <x:v>2490.7090663793606</x:v>
      </x:c>
      <x:c r="F206" s="2" t="n">
        <x:v>2015</x:v>
      </x:c>
      <x:c r="G206" s="9" t="n">
        <x:f>SUMIF('Kreise_2015'!$C$2:$C$403,A206,'Kreise_2015'!$H$2:$H$403)</x:f>
        <x:v>1</x:v>
      </x:c>
    </x:row>
    <x:row r="207" ht="24" customHeight="1">
      <x:c r="A207" s="2" t="n">
        <x:v>207</x:v>
      </x:c>
      <x:c r="B207" s="2" t="str">
        <x:v>Cottbus</x:v>
      </x:c>
      <x:c r="C207" s="7" t="n">
        <x:f>COUNTIF('Kreise_2015'!$C$2:$C$403,A207)</x:f>
        <x:v>3</x:v>
      </x:c>
      <x:c r="D207" s="7" t="n">
        <x:f>SUMIF('Kreise_2015'!$C$2:$C$403,A207,'Kreise_2015'!$F$2:$F$403)</x:f>
        <x:v>84834</x:v>
      </x:c>
      <x:c r="E207" s="8" t="n">
        <x:f>SUMIF('Kreise_2015'!$C$2:$C$403,A207,'Kreise_2015'!$G$2:$G$403)/D207</x:f>
        <x:v>2457.7747380504507</x:v>
      </x:c>
      <x:c r="F207" s="2" t="n">
        <x:v>2015</x:v>
      </x:c>
      <x:c r="G207" s="9" t="n">
        <x:f>SUMIF('Kreise_2015'!$C$2:$C$403,A207,'Kreise_2015'!$H$2:$H$403)</x:f>
        <x:v>1</x:v>
      </x:c>
    </x:row>
    <x:row r="208" ht="24" customHeight="1">
      <x:c r="A208" s="2" t="n">
        <x:v>208</x:v>
      </x:c>
      <x:c r="B208" s="2" t="str">
        <x:v>Frankfurt/Oder</x:v>
      </x:c>
      <x:c r="C208" s="7" t="n">
        <x:f>COUNTIF('Kreise_2015'!$C$2:$C$403,A208)</x:f>
        <x:v>3</x:v>
      </x:c>
      <x:c r="D208" s="7" t="n">
        <x:f>SUMIF('Kreise_2015'!$C$2:$C$403,A208,'Kreise_2015'!$F$2:$F$403)</x:f>
        <x:v>90805</x:v>
      </x:c>
      <x:c r="E208" s="8" t="n">
        <x:f>SUMIF('Kreise_2015'!$C$2:$C$403,A208,'Kreise_2015'!$G$2:$G$403)/D208</x:f>
        <x:v>2392.260497521565</x:v>
      </x:c>
      <x:c r="F208" s="2" t="n">
        <x:v>2015</x:v>
      </x:c>
      <x:c r="G208" s="9" t="n">
        <x:f>SUMIF('Kreise_2015'!$C$2:$C$403,A208,'Kreise_2015'!$H$2:$H$403)</x:f>
        <x:v>1</x:v>
      </x:c>
    </x:row>
    <x:row r="209" ht="24" customHeight="1">
      <x:c r="A209" s="2" t="n">
        <x:v>209</x:v>
      </x:c>
      <x:c r="B209" s="2" t="str">
        <x:v>Eberswalde</x:v>
      </x:c>
      <x:c r="C209" s="7" t="n">
        <x:f>COUNTIF('Kreise_2015'!$C$2:$C$403,A209)</x:f>
        <x:v>1</x:v>
      </x:c>
      <x:c r="D209" s="7" t="n">
        <x:f>SUMIF('Kreise_2015'!$C$2:$C$403,A209,'Kreise_2015'!$F$2:$F$403)</x:f>
        <x:v>33579</x:v>
      </x:c>
      <x:c r="E209" s="8" t="n">
        <x:f>SUMIF('Kreise_2015'!$C$2:$C$403,A209,'Kreise_2015'!$G$2:$G$403)/D209</x:f>
        <x:v>2269.2604690117255</x:v>
      </x:c>
      <x:c r="F209" s="2" t="n">
        <x:v>2015</x:v>
      </x:c>
      <x:c r="G209" s="9" t="n">
        <x:f>SUMIF('Kreise_2015'!$C$2:$C$403,A209,'Kreise_2015'!$H$2:$H$403)</x:f>
        <x:v>1</x:v>
      </x:c>
    </x:row>
    <x:row r="210" ht="24" customHeight="1">
      <x:c r="A210" s="2" t="n">
        <x:v>210</x:v>
      </x:c>
      <x:c r="B210" s="2" t="str">
        <x:v>Luckenwalde</x:v>
      </x:c>
      <x:c r="C210" s="7" t="n">
        <x:f>COUNTIF('Kreise_2015'!$C$2:$C$403,A210)</x:f>
        <x:v>2</x:v>
      </x:c>
      <x:c r="D210" s="7" t="n">
        <x:f>SUMIF('Kreise_2015'!$C$2:$C$403,A210,'Kreise_2015'!$F$2:$F$403)</x:f>
        <x:v>85197</x:v>
      </x:c>
      <x:c r="E210" s="8" t="n">
        <x:f>SUMIF('Kreise_2015'!$C$2:$C$403,A210,'Kreise_2015'!$G$2:$G$403)/D210</x:f>
        <x:v>2388.7585639454746</x:v>
      </x:c>
      <x:c r="F210" s="2" t="n">
        <x:v>2015</x:v>
      </x:c>
      <x:c r="G210" s="9" t="n">
        <x:f>SUMIF('Kreise_2015'!$C$2:$C$403,A210,'Kreise_2015'!$H$2:$H$403)</x:f>
        <x:v>1</x:v>
      </x:c>
    </x:row>
    <x:row r="211" ht="24" customHeight="1">
      <x:c r="A211" s="2" t="n">
        <x:v>211</x:v>
      </x:c>
      <x:c r="B211" s="2" t="str">
        <x:v>Finsterwalde</x:v>
      </x:c>
      <x:c r="C211" s="7" t="n">
        <x:f>COUNTIF('Kreise_2015'!$C$2:$C$403,A211)</x:f>
        <x:v>1</x:v>
      </x:c>
      <x:c r="D211" s="7" t="n">
        <x:f>SUMIF('Kreise_2015'!$C$2:$C$403,A211,'Kreise_2015'!$F$2:$F$403)</x:f>
        <x:v>23194</x:v>
      </x:c>
      <x:c r="E211" s="8" t="n">
        <x:f>SUMIF('Kreise_2015'!$C$2:$C$403,A211,'Kreise_2015'!$G$2:$G$403)/D211</x:f>
        <x:v>2062.409650924025</x:v>
      </x:c>
      <x:c r="F211" s="2" t="n">
        <x:v>2015</x:v>
      </x:c>
      <x:c r="G211" s="9" t="n">
        <x:f>SUMIF('Kreise_2015'!$C$2:$C$403,A211,'Kreise_2015'!$H$2:$H$403)</x:f>
        <x:v>1</x:v>
      </x:c>
    </x:row>
    <x:row r="212" ht="24" customHeight="1">
      <x:c r="A212" s="2" t="n">
        <x:v>212</x:v>
      </x:c>
      <x:c r="B212" s="2" t="str">
        <x:v>Oranienburg</x:v>
      </x:c>
      <x:c r="C212" s="7" t="n">
        <x:f>COUNTIF('Kreise_2015'!$C$2:$C$403,A212)</x:f>
        <x:v>1</x:v>
      </x:c>
      <x:c r="D212" s="7" t="n">
        <x:f>SUMIF('Kreise_2015'!$C$2:$C$403,A212,'Kreise_2015'!$F$2:$F$403)</x:f>
        <x:v>39780</x:v>
      </x:c>
      <x:c r="E212" s="8" t="n">
        <x:f>SUMIF('Kreise_2015'!$C$2:$C$403,A212,'Kreise_2015'!$G$2:$G$403)/D212</x:f>
        <x:v>2434.0895117540686</x:v>
      </x:c>
      <x:c r="F212" s="2" t="n">
        <x:v>2015</x:v>
      </x:c>
      <x:c r="G212" s="9" t="n">
        <x:f>SUMIF('Kreise_2015'!$C$2:$C$403,A212,'Kreise_2015'!$H$2:$H$403)</x:f>
        <x:v>1</x:v>
      </x:c>
    </x:row>
    <x:row r="213" ht="24" customHeight="1">
      <x:c r="A213" s="2" t="n">
        <x:v>213</x:v>
      </x:c>
      <x:c r="B213" s="2" t="str">
        <x:v>Neuruppin</x:v>
      </x:c>
      <x:c r="C213" s="7" t="n">
        <x:f>COUNTIF('Kreise_2015'!$C$2:$C$403,A213)</x:f>
        <x:v>1</x:v>
      </x:c>
      <x:c r="D213" s="7" t="n">
        <x:f>SUMIF('Kreise_2015'!$C$2:$C$403,A213,'Kreise_2015'!$F$2:$F$403)</x:f>
        <x:v>24314</x:v>
      </x:c>
      <x:c r="E213" s="8" t="n">
        <x:f>SUMIF('Kreise_2015'!$C$2:$C$403,A213,'Kreise_2015'!$G$2:$G$403)/D213</x:f>
        <x:v>2186.729674796748</x:v>
      </x:c>
      <x:c r="F213" s="2" t="n">
        <x:v>2015</x:v>
      </x:c>
      <x:c r="G213" s="9" t="n">
        <x:f>SUMIF('Kreise_2015'!$C$2:$C$403,A213,'Kreise_2015'!$H$2:$H$403)</x:f>
        <x:v>1</x:v>
      </x:c>
    </x:row>
    <x:row r="214" ht="24" customHeight="1">
      <x:c r="A214" s="2" t="n">
        <x:v>214</x:v>
      </x:c>
      <x:c r="B214" s="2" t="str">
        <x:v>Perleberg</x:v>
      </x:c>
      <x:c r="C214" s="7" t="n">
        <x:f>COUNTIF('Kreise_2015'!$C$2:$C$403,A214)</x:f>
        <x:v>1</x:v>
      </x:c>
      <x:c r="D214" s="7" t="n">
        <x:f>SUMIF('Kreise_2015'!$C$2:$C$403,A214,'Kreise_2015'!$F$2:$F$403)</x:f>
        <x:v>19192</x:v>
      </x:c>
      <x:c r="E214" s="8" t="n">
        <x:f>SUMIF('Kreise_2015'!$C$2:$C$403,A214,'Kreise_2015'!$G$2:$G$403)/D214</x:f>
        <x:v>2106.4602649006624</x:v>
      </x:c>
      <x:c r="F214" s="2" t="n">
        <x:v>2015</x:v>
      </x:c>
      <x:c r="G214" s="9" t="n">
        <x:f>SUMIF('Kreise_2015'!$C$2:$C$403,A214,'Kreise_2015'!$H$2:$H$403)</x:f>
        <x:v>1</x:v>
      </x:c>
    </x:row>
    <x:row r="215" ht="24" customHeight="1">
      <x:c r="A215" s="2" t="n">
        <x:v>215</x:v>
      </x:c>
      <x:c r="B215" s="2" t="str">
        <x:v>Prenzlau</x:v>
      </x:c>
      <x:c r="C215" s="7" t="n">
        <x:f>COUNTIF('Kreise_2015'!$C$2:$C$403,A215)</x:f>
        <x:v>1</x:v>
      </x:c>
      <x:c r="D215" s="7" t="n">
        <x:f>SUMIF('Kreise_2015'!$C$2:$C$403,A215,'Kreise_2015'!$F$2:$F$403)</x:f>
        <x:v>26238</x:v>
      </x:c>
      <x:c r="E215" s="8" t="n">
        <x:f>SUMIF('Kreise_2015'!$C$2:$C$403,A215,'Kreise_2015'!$G$2:$G$403)/D215</x:f>
        <x:v>2185.319639278557</x:v>
      </x:c>
      <x:c r="F215" s="2" t="n">
        <x:v>2015</x:v>
      </x:c>
      <x:c r="G215" s="9" t="n">
        <x:f>SUMIF('Kreise_2015'!$C$2:$C$403,A215,'Kreise_2015'!$H$2:$H$403)</x:f>
        <x:v>1</x:v>
      </x:c>
    </x:row>
    <x:row r="216" ht="24" customHeight="1">
      <x:c r="A216" s="2" t="n">
        <x:v>216</x:v>
      </x:c>
      <x:c r="B216" s="2" t="str">
        <x:v>Rostock</x:v>
      </x:c>
      <x:c r="C216" s="7" t="n">
        <x:f>COUNTIF('Kreise_2015'!$C$2:$C$403,A216)</x:f>
        <x:v>2</x:v>
      </x:c>
      <x:c r="D216" s="7" t="n">
        <x:f>SUMIF('Kreise_2015'!$C$2:$C$403,A216,'Kreise_2015'!$F$2:$F$403)</x:f>
        <x:v>109102</x:v>
      </x:c>
      <x:c r="E216" s="8" t="n">
        <x:f>SUMIF('Kreise_2015'!$C$2:$C$403,A216,'Kreise_2015'!$G$2:$G$403)/D216</x:f>
        <x:v>2404.049269965748</x:v>
      </x:c>
      <x:c r="F216" s="2" t="n">
        <x:v>2015</x:v>
      </x:c>
      <x:c r="G216" s="9" t="n">
        <x:f>SUMIF('Kreise_2015'!$C$2:$C$403,A216,'Kreise_2015'!$H$2:$H$403)</x:f>
        <x:v>1</x:v>
      </x:c>
    </x:row>
    <x:row r="217" ht="24" customHeight="1">
      <x:c r="A217" s="2" t="n">
        <x:v>217</x:v>
      </x:c>
      <x:c r="B217" s="2" t="str">
        <x:v>Schwerin</x:v>
      </x:c>
      <x:c r="C217" s="7" t="n">
        <x:f>COUNTIF('Kreise_2015'!$C$2:$C$403,A217)</x:f>
        <x:v>3</x:v>
      </x:c>
      <x:c r="D217" s="7" t="n">
        <x:f>SUMIF('Kreise_2015'!$C$2:$C$403,A217,'Kreise_2015'!$F$2:$F$403)</x:f>
        <x:v>115779</x:v>
      </x:c>
      <x:c r="E217" s="8" t="n">
        <x:f>SUMIF('Kreise_2015'!$C$2:$C$403,A217,'Kreise_2015'!$G$2:$G$403)/D217</x:f>
        <x:v>2363.049325088038</x:v>
      </x:c>
      <x:c r="F217" s="2" t="n">
        <x:v>2015</x:v>
      </x:c>
      <x:c r="G217" s="9" t="n">
        <x:f>SUMIF('Kreise_2015'!$C$2:$C$403,A217,'Kreise_2015'!$H$2:$H$403)</x:f>
        <x:v>1</x:v>
      </x:c>
    </x:row>
    <x:row r="218" ht="24" customHeight="1">
      <x:c r="A218" s="2" t="n">
        <x:v>218</x:v>
      </x:c>
      <x:c r="B218" s="2" t="str">
        <x:v>Mecklenburgische Seenplatte</x:v>
      </x:c>
      <x:c r="C218" s="7" t="n">
        <x:f>COUNTIF('Kreise_2015'!$C$2:$C$403,A218)</x:f>
        <x:v>1</x:v>
      </x:c>
      <x:c r="D218" s="7" t="n">
        <x:f>SUMIF('Kreise_2015'!$C$2:$C$403,A218,'Kreise_2015'!$F$2:$F$403)</x:f>
        <x:v>64510</x:v>
      </x:c>
      <x:c r="E218" s="8" t="n">
        <x:f>SUMIF('Kreise_2015'!$C$2:$C$403,A218,'Kreise_2015'!$G$2:$G$403)/D218</x:f>
        <x:v>2193.871059013743</x:v>
      </x:c>
      <x:c r="F218" s="2" t="n">
        <x:v>2015</x:v>
      </x:c>
      <x:c r="G218" s="9" t="n">
        <x:f>SUMIF('Kreise_2015'!$C$2:$C$403,A218,'Kreise_2015'!$H$2:$H$403)</x:f>
        <x:v>1</x:v>
      </x:c>
    </x:row>
    <x:row r="219" ht="24" customHeight="1">
      <x:c r="A219" s="2" t="n">
        <x:v>219</x:v>
      </x:c>
      <x:c r="B219" s="2" t="str">
        <x:v>Nordvorpommern</x:v>
      </x:c>
      <x:c r="C219" s="7" t="n">
        <x:f>COUNTIF('Kreise_2015'!$C$2:$C$403,A219)</x:f>
        <x:v>1</x:v>
      </x:c>
      <x:c r="D219" s="7" t="n">
        <x:f>SUMIF('Kreise_2015'!$C$2:$C$403,A219,'Kreise_2015'!$F$2:$F$403)</x:f>
        <x:v>49381</x:v>
      </x:c>
      <x:c r="E219" s="8" t="n">
        <x:f>SUMIF('Kreise_2015'!$C$2:$C$403,A219,'Kreise_2015'!$G$2:$G$403)/D219</x:f>
        <x:v>2056.2894736842104</x:v>
      </x:c>
      <x:c r="F219" s="2" t="n">
        <x:v>2015</x:v>
      </x:c>
      <x:c r="G219" s="9" t="n">
        <x:f>SUMIF('Kreise_2015'!$C$2:$C$403,A219,'Kreise_2015'!$H$2:$H$403)</x:f>
        <x:v>1</x:v>
      </x:c>
    </x:row>
    <x:row r="220" ht="24" customHeight="1">
      <x:c r="A220" s="2" t="n">
        <x:v>220</x:v>
      </x:c>
      <x:c r="B220" s="2" t="str">
        <x:v>Südvorpommern</x:v>
      </x:c>
      <x:c r="C220" s="7" t="n">
        <x:f>COUNTIF('Kreise_2015'!$C$2:$C$403,A220)</x:f>
        <x:v>1</x:v>
      </x:c>
      <x:c r="D220" s="7" t="n">
        <x:f>SUMIF('Kreise_2015'!$C$2:$C$403,A220,'Kreise_2015'!$F$2:$F$403)</x:f>
        <x:v>54375</x:v>
      </x:c>
      <x:c r="E220" s="8" t="n">
        <x:f>SUMIF('Kreise_2015'!$C$2:$C$403,A220,'Kreise_2015'!$G$2:$G$403)/D220</x:f>
        <x:v>2133.8161157024792</x:v>
      </x:c>
      <x:c r="F220" s="2" t="n">
        <x:v>2015</x:v>
      </x:c>
      <x:c r="G220" s="9" t="n">
        <x:f>SUMIF('Kreise_2015'!$C$2:$C$403,A220,'Kreise_2015'!$H$2:$H$403)</x:f>
        <x:v>1</x:v>
      </x:c>
    </x:row>
    <x:row r="221" ht="24" customHeight="1">
      <x:c r="A221" s="2" t="n">
        <x:v>221</x:v>
      </x:c>
      <x:c r="B221" s="2" t="str">
        <x:v>Chemnitz</x:v>
      </x:c>
      <x:c r="C221" s="7" t="n">
        <x:f>COUNTIF('Kreise_2015'!$C$2:$C$403,A221)</x:f>
        <x:v>1</x:v>
      </x:c>
      <x:c r="D221" s="7" t="n">
        <x:f>SUMIF('Kreise_2015'!$C$2:$C$403,A221,'Kreise_2015'!$F$2:$F$403)</x:f>
        <x:v>81116</x:v>
      </x:c>
      <x:c r="E221" s="8" t="n">
        <x:f>SUMIF('Kreise_2015'!$C$2:$C$403,A221,'Kreise_2015'!$G$2:$G$403)/D221</x:f>
        <x:v>2480.9347826086955</x:v>
      </x:c>
      <x:c r="F221" s="2" t="n">
        <x:v>2015</x:v>
      </x:c>
      <x:c r="G221" s="9" t="n">
        <x:f>SUMIF('Kreise_2015'!$C$2:$C$403,A221,'Kreise_2015'!$H$2:$H$403)</x:f>
        <x:v>1</x:v>
      </x:c>
    </x:row>
    <x:row r="222" ht="24" customHeight="1">
      <x:c r="A222" s="2" t="n">
        <x:v>222</x:v>
      </x:c>
      <x:c r="B222" s="2" t="str">
        <x:v>Erzgebirgskreis</x:v>
      </x:c>
      <x:c r="C222" s="7" t="n">
        <x:f>COUNTIF('Kreise_2015'!$C$2:$C$403,A222)</x:f>
        <x:v>1</x:v>
      </x:c>
      <x:c r="D222" s="7" t="n">
        <x:f>SUMIF('Kreise_2015'!$C$2:$C$403,A222,'Kreise_2015'!$F$2:$F$403)</x:f>
        <x:v>78396</x:v>
      </x:c>
      <x:c r="E222" s="8" t="n">
        <x:f>SUMIF('Kreise_2015'!$C$2:$C$403,A222,'Kreise_2015'!$G$2:$G$403)/D222</x:f>
        <x:v>2036.315868263473</x:v>
      </x:c>
      <x:c r="F222" s="2" t="n">
        <x:v>2015</x:v>
      </x:c>
      <x:c r="G222" s="9" t="n">
        <x:f>SUMIF('Kreise_2015'!$C$2:$C$403,A222,'Kreise_2015'!$H$2:$H$403)</x:f>
        <x:v>1</x:v>
      </x:c>
    </x:row>
    <x:row r="223" ht="24" customHeight="1">
      <x:c r="A223" s="2" t="n">
        <x:v>223</x:v>
      </x:c>
      <x:c r="B223" s="2" t="str">
        <x:v>Mittelsachsen</x:v>
      </x:c>
      <x:c r="C223" s="7" t="n">
        <x:f>COUNTIF('Kreise_2015'!$C$2:$C$403,A223)</x:f>
        <x:v>1</x:v>
      </x:c>
      <x:c r="D223" s="7" t="n">
        <x:f>SUMIF('Kreise_2015'!$C$2:$C$403,A223,'Kreise_2015'!$F$2:$F$403)</x:f>
        <x:v>81304</x:v>
      </x:c>
      <x:c r="E223" s="8" t="n">
        <x:f>SUMIF('Kreise_2015'!$C$2:$C$403,A223,'Kreise_2015'!$G$2:$G$403)/D223</x:f>
        <x:v>2110.153890160183</x:v>
      </x:c>
      <x:c r="F223" s="2" t="n">
        <x:v>2015</x:v>
      </x:c>
      <x:c r="G223" s="9" t="n">
        <x:f>SUMIF('Kreise_2015'!$C$2:$C$403,A223,'Kreise_2015'!$H$2:$H$403)</x:f>
        <x:v>1</x:v>
      </x:c>
    </x:row>
    <x:row r="224" ht="24" customHeight="1">
      <x:c r="A224" s="2" t="n">
        <x:v>224</x:v>
      </x:c>
      <x:c r="B224" s="2" t="str">
        <x:v>Vogtlandkreis</x:v>
      </x:c>
      <x:c r="C224" s="7" t="n">
        <x:f>COUNTIF('Kreise_2015'!$C$2:$C$403,A224)</x:f>
        <x:v>1</x:v>
      </x:c>
      <x:c r="D224" s="7" t="n">
        <x:f>SUMIF('Kreise_2015'!$C$2:$C$403,A224,'Kreise_2015'!$F$2:$F$403)</x:f>
        <x:v>55837</x:v>
      </x:c>
      <x:c r="E224" s="8" t="n">
        <x:f>SUMIF('Kreise_2015'!$C$2:$C$403,A224,'Kreise_2015'!$G$2:$G$403)/D224</x:f>
        <x:v>2095.444029850746</x:v>
      </x:c>
      <x:c r="F224" s="2" t="n">
        <x:v>2015</x:v>
      </x:c>
      <x:c r="G224" s="9" t="n">
        <x:f>SUMIF('Kreise_2015'!$C$2:$C$403,A224,'Kreise_2015'!$H$2:$H$403)</x:f>
        <x:v>1</x:v>
      </x:c>
    </x:row>
    <x:row r="225" ht="24" customHeight="1">
      <x:c r="A225" s="2" t="n">
        <x:v>225</x:v>
      </x:c>
      <x:c r="B225" s="2" t="str">
        <x:v>Zwickau</x:v>
      </x:c>
      <x:c r="C225" s="7" t="n">
        <x:f>COUNTIF('Kreise_2015'!$C$2:$C$403,A225)</x:f>
        <x:v>1</x:v>
      </x:c>
      <x:c r="D225" s="7" t="n">
        <x:f>SUMIF('Kreise_2015'!$C$2:$C$403,A225,'Kreise_2015'!$F$2:$F$403)</x:f>
        <x:v>91565</x:v>
      </x:c>
      <x:c r="E225" s="8" t="n">
        <x:f>SUMIF('Kreise_2015'!$C$2:$C$403,A225,'Kreise_2015'!$G$2:$G$403)/D225</x:f>
        <x:v>2350.22733469666</x:v>
      </x:c>
      <x:c r="F225" s="2" t="n">
        <x:v>2015</x:v>
      </x:c>
      <x:c r="G225" s="9" t="n">
        <x:f>SUMIF('Kreise_2015'!$C$2:$C$403,A225,'Kreise_2015'!$H$2:$H$403)</x:f>
        <x:v>1</x:v>
      </x:c>
    </x:row>
    <x:row r="226" ht="24" customHeight="1">
      <x:c r="A226" s="2" t="n">
        <x:v>226</x:v>
      </x:c>
      <x:c r="B226" s="2" t="str">
        <x:v>Dresden</x:v>
      </x:c>
      <x:c r="C226" s="7" t="n">
        <x:f>COUNTIF('Kreise_2015'!$C$2:$C$403,A226)</x:f>
        <x:v>2</x:v>
      </x:c>
      <x:c r="D226" s="7" t="n">
        <x:f>SUMIF('Kreise_2015'!$C$2:$C$403,A226,'Kreise_2015'!$F$2:$F$403)</x:f>
        <x:v>234883</x:v>
      </x:c>
      <x:c r="E226" s="8" t="n">
        <x:f>SUMIF('Kreise_2015'!$C$2:$C$403,A226,'Kreise_2015'!$G$2:$G$403)/D226</x:f>
        <x:v>2692.892133886535</x:v>
      </x:c>
      <x:c r="F226" s="2" t="n">
        <x:v>2015</x:v>
      </x:c>
      <x:c r="G226" s="9" t="n">
        <x:f>SUMIF('Kreise_2015'!$C$2:$C$403,A226,'Kreise_2015'!$H$2:$H$403)</x:f>
        <x:v>1</x:v>
      </x:c>
    </x:row>
    <x:row r="227" ht="24" customHeight="1">
      <x:c r="A227" s="2" t="n">
        <x:v>227</x:v>
      </x:c>
      <x:c r="B227" s="2" t="str">
        <x:v>Bautzen</x:v>
      </x:c>
      <x:c r="C227" s="7" t="n">
        <x:f>COUNTIF('Kreise_2015'!$C$2:$C$403,A227)</x:f>
        <x:v>1</x:v>
      </x:c>
      <x:c r="D227" s="7" t="n">
        <x:f>SUMIF('Kreise_2015'!$C$2:$C$403,A227,'Kreise_2015'!$F$2:$F$403)</x:f>
        <x:v>78731</x:v>
      </x:c>
      <x:c r="E227" s="8" t="n">
        <x:f>SUMIF('Kreise_2015'!$C$2:$C$403,A227,'Kreise_2015'!$G$2:$G$403)/D227</x:f>
        <x:v>2133.8333333333335</x:v>
      </x:c>
      <x:c r="F227" s="2" t="n">
        <x:v>2015</x:v>
      </x:c>
      <x:c r="G227" s="9" t="n">
        <x:f>SUMIF('Kreise_2015'!$C$2:$C$403,A227,'Kreise_2015'!$H$2:$H$403)</x:f>
        <x:v>1</x:v>
      </x:c>
    </x:row>
    <x:row r="228" ht="24" customHeight="1">
      <x:c r="A228" s="2" t="n">
        <x:v>228</x:v>
      </x:c>
      <x:c r="B228" s="2" t="str">
        <x:v>Görlitz</x:v>
      </x:c>
      <x:c r="C228" s="7" t="n">
        <x:f>COUNTIF('Kreise_2015'!$C$2:$C$403,A228)</x:f>
        <x:v>1</x:v>
      </x:c>
      <x:c r="D228" s="7" t="n">
        <x:f>SUMIF('Kreise_2015'!$C$2:$C$403,A228,'Kreise_2015'!$F$2:$F$403)</x:f>
        <x:v>55026</x:v>
      </x:c>
      <x:c r="E228" s="8" t="n">
        <x:f>SUMIF('Kreise_2015'!$C$2:$C$403,A228,'Kreise_2015'!$G$2:$G$403)/D228</x:f>
        <x:v>2067.11002548853</x:v>
      </x:c>
      <x:c r="F228" s="2" t="n">
        <x:v>2015</x:v>
      </x:c>
      <x:c r="G228" s="9" t="n">
        <x:f>SUMIF('Kreise_2015'!$C$2:$C$403,A228,'Kreise_2015'!$H$2:$H$403)</x:f>
        <x:v>1</x:v>
      </x:c>
    </x:row>
    <x:row r="229" ht="24" customHeight="1">
      <x:c r="A229" s="2" t="n">
        <x:v>229</x:v>
      </x:c>
      <x:c r="B229" s="2" t="str">
        <x:v>Meißen</x:v>
      </x:c>
      <x:c r="C229" s="7" t="n">
        <x:f>COUNTIF('Kreise_2015'!$C$2:$C$403,A229)</x:f>
        <x:v>1</x:v>
      </x:c>
      <x:c r="D229" s="7" t="n">
        <x:f>SUMIF('Kreise_2015'!$C$2:$C$403,A229,'Kreise_2015'!$F$2:$F$403)</x:f>
        <x:v>64680</x:v>
      </x:c>
      <x:c r="E229" s="8" t="n">
        <x:f>SUMIF('Kreise_2015'!$C$2:$C$403,A229,'Kreise_2015'!$G$2:$G$403)/D229</x:f>
        <x:v>2273.1455479452056</x:v>
      </x:c>
      <x:c r="F229" s="2" t="n">
        <x:v>2015</x:v>
      </x:c>
      <x:c r="G229" s="9" t="n">
        <x:f>SUMIF('Kreise_2015'!$C$2:$C$403,A229,'Kreise_2015'!$H$2:$H$403)</x:f>
        <x:v>1</x:v>
      </x:c>
    </x:row>
    <x:row r="230" ht="24" customHeight="1">
      <x:c r="A230" s="2" t="n">
        <x:v>230</x:v>
      </x:c>
      <x:c r="B230" s="2" t="str">
        <x:v>Leipzig</x:v>
      </x:c>
      <x:c r="C230" s="7" t="n">
        <x:f>COUNTIF('Kreise_2015'!$C$2:$C$403,A230)</x:f>
        <x:v>3</x:v>
      </x:c>
      <x:c r="D230" s="7" t="n">
        <x:f>SUMIF('Kreise_2015'!$C$2:$C$403,A230,'Kreise_2015'!$F$2:$F$403)</x:f>
        <x:v>284775</x:v>
      </x:c>
      <x:c r="E230" s="8" t="n">
        <x:f>SUMIF('Kreise_2015'!$C$2:$C$403,A230,'Kreise_2015'!$G$2:$G$403)/D230</x:f>
        <x:v>2471.041903357905</x:v>
      </x:c>
      <x:c r="F230" s="2" t="n">
        <x:v>2015</x:v>
      </x:c>
      <x:c r="G230" s="9" t="n">
        <x:f>SUMIF('Kreise_2015'!$C$2:$C$403,A230,'Kreise_2015'!$H$2:$H$403)</x:f>
        <x:v>1</x:v>
      </x:c>
    </x:row>
    <x:row r="231" ht="24" customHeight="1">
      <x:c r="A231" s="2" t="n">
        <x:v>231</x:v>
      </x:c>
      <x:c r="B231" s="2" t="str">
        <x:v>Dessau-Roßlau</x:v>
      </x:c>
      <x:c r="C231" s="7" t="n">
        <x:f>COUNTIF('Kreise_2015'!$C$2:$C$403,A231)</x:f>
        <x:v>1</x:v>
      </x:c>
      <x:c r="D231" s="7" t="n">
        <x:f>SUMIF('Kreise_2015'!$C$2:$C$403,A231,'Kreise_2015'!$F$2:$F$403)</x:f>
        <x:v>24049</x:v>
      </x:c>
      <x:c r="E231" s="8" t="n">
        <x:f>SUMIF('Kreise_2015'!$C$2:$C$403,A231,'Kreise_2015'!$G$2:$G$403)/D231</x:f>
        <x:v>2508.1785714285716</x:v>
      </x:c>
      <x:c r="F231" s="2" t="n">
        <x:v>2015</x:v>
      </x:c>
      <x:c r="G231" s="9" t="n">
        <x:f>SUMIF('Kreise_2015'!$C$2:$C$403,A231,'Kreise_2015'!$H$2:$H$403)</x:f>
        <x:v>1</x:v>
      </x:c>
    </x:row>
    <x:row r="232" ht="24" customHeight="1">
      <x:c r="A232" s="2" t="n">
        <x:v>232</x:v>
      </x:c>
      <x:c r="B232" s="2" t="str">
        <x:v>Halle</x:v>
      </x:c>
      <x:c r="C232" s="7" t="n">
        <x:f>COUNTIF('Kreise_2015'!$C$2:$C$403,A232)</x:f>
        <x:v>2</x:v>
      </x:c>
      <x:c r="D232" s="7" t="n">
        <x:f>SUMIF('Kreise_2015'!$C$2:$C$403,A232,'Kreise_2015'!$F$2:$F$403)</x:f>
        <x:v>116191</x:v>
      </x:c>
      <x:c r="E232" s="8" t="n">
        <x:f>SUMIF('Kreise_2015'!$C$2:$C$403,A232,'Kreise_2015'!$G$2:$G$403)/D232</x:f>
        <x:v>2543.622669283385</x:v>
      </x:c>
      <x:c r="F232" s="2" t="n">
        <x:v>2015</x:v>
      </x:c>
      <x:c r="G232" s="9" t="n">
        <x:f>SUMIF('Kreise_2015'!$C$2:$C$403,A232,'Kreise_2015'!$H$2:$H$403)</x:f>
        <x:v>1</x:v>
      </x:c>
    </x:row>
    <x:row r="233" ht="24" customHeight="1">
      <x:c r="A233" s="2" t="n">
        <x:v>233</x:v>
      </x:c>
      <x:c r="B233" s="2" t="str">
        <x:v>Magdeburg</x:v>
      </x:c>
      <x:c r="C233" s="7" t="n">
        <x:f>COUNTIF('Kreise_2015'!$C$2:$C$403,A233)</x:f>
        <x:v>3</x:v>
      </x:c>
      <x:c r="D233" s="7" t="n">
        <x:f>SUMIF('Kreise_2015'!$C$2:$C$403,A233,'Kreise_2015'!$F$2:$F$403)</x:f>
        <x:v>137019</x:v>
      </x:c>
      <x:c r="E233" s="8" t="n">
        <x:f>SUMIF('Kreise_2015'!$C$2:$C$403,A233,'Kreise_2015'!$G$2:$G$403)/D233</x:f>
        <x:v>2476.9500980945995</x:v>
      </x:c>
      <x:c r="F233" s="2" t="n">
        <x:v>2015</x:v>
      </x:c>
      <x:c r="G233" s="9" t="n">
        <x:f>SUMIF('Kreise_2015'!$C$2:$C$403,A233,'Kreise_2015'!$H$2:$H$403)</x:f>
        <x:v>1</x:v>
      </x:c>
    </x:row>
    <x:row r="234" ht="24" customHeight="1">
      <x:c r="A234" s="2" t="n">
        <x:v>234</x:v>
      </x:c>
      <x:c r="B234" s="2" t="str">
        <x:v>Salzwedel</x:v>
      </x:c>
      <x:c r="C234" s="7" t="n">
        <x:f>COUNTIF('Kreise_2015'!$C$2:$C$403,A234)</x:f>
        <x:v>1</x:v>
      </x:c>
      <x:c r="D234" s="7" t="n">
        <x:f>SUMIF('Kreise_2015'!$C$2:$C$403,A234,'Kreise_2015'!$F$2:$F$403)</x:f>
        <x:v>19704</x:v>
      </x:c>
      <x:c r="E234" s="8" t="n">
        <x:f>SUMIF('Kreise_2015'!$C$2:$C$403,A234,'Kreise_2015'!$G$2:$G$403)/D234</x:f>
        <x:v>2131.858024691358</x:v>
      </x:c>
      <x:c r="F234" s="2" t="n">
        <x:v>2015</x:v>
      </x:c>
      <x:c r="G234" s="9" t="n">
        <x:f>SUMIF('Kreise_2015'!$C$2:$C$403,A234,'Kreise_2015'!$H$2:$H$403)</x:f>
        <x:v>1</x:v>
      </x:c>
    </x:row>
    <x:row r="235" ht="24" customHeight="1">
      <x:c r="A235" s="2" t="n">
        <x:v>235</x:v>
      </x:c>
      <x:c r="B235" s="2" t="str">
        <x:v>Anhalt-Bitterfeld</x:v>
      </x:c>
      <x:c r="C235" s="7" t="n">
        <x:f>COUNTIF('Kreise_2015'!$C$2:$C$403,A235)</x:f>
        <x:v>1</x:v>
      </x:c>
      <x:c r="D235" s="7" t="n">
        <x:f>SUMIF('Kreise_2015'!$C$2:$C$403,A235,'Kreise_2015'!$F$2:$F$403)</x:f>
        <x:v>42147</x:v>
      </x:c>
      <x:c r="E235" s="8" t="n">
        <x:f>SUMIF('Kreise_2015'!$C$2:$C$403,A235,'Kreise_2015'!$G$2:$G$403)/D235</x:f>
        <x:v>2173.390733056708</x:v>
      </x:c>
      <x:c r="F235" s="2" t="n">
        <x:v>2015</x:v>
      </x:c>
      <x:c r="G235" s="9" t="n">
        <x:f>SUMIF('Kreise_2015'!$C$2:$C$403,A235,'Kreise_2015'!$H$2:$H$403)</x:f>
        <x:v>1</x:v>
      </x:c>
    </x:row>
    <x:row r="236" ht="24" customHeight="1">
      <x:c r="A236" s="2" t="n">
        <x:v>236</x:v>
      </x:c>
      <x:c r="B236" s="2" t="str">
        <x:v>Burgenlandkreis</x:v>
      </x:c>
      <x:c r="C236" s="7" t="n">
        <x:f>COUNTIF('Kreise_2015'!$C$2:$C$403,A236)</x:f>
        <x:v>1</x:v>
      </x:c>
      <x:c r="D236" s="7" t="n">
        <x:f>SUMIF('Kreise_2015'!$C$2:$C$403,A236,'Kreise_2015'!$F$2:$F$403)</x:f>
        <x:v>40986</x:v>
      </x:c>
      <x:c r="E236" s="8" t="n">
        <x:f>SUMIF('Kreise_2015'!$C$2:$C$403,A236,'Kreise_2015'!$G$2:$G$403)/D236</x:f>
        <x:v>2273.9375</x:v>
      </x:c>
      <x:c r="F236" s="2" t="n">
        <x:v>2015</x:v>
      </x:c>
      <x:c r="G236" s="9" t="n">
        <x:f>SUMIF('Kreise_2015'!$C$2:$C$403,A236,'Kreise_2015'!$H$2:$H$403)</x:f>
        <x:v>1</x:v>
      </x:c>
    </x:row>
    <x:row r="237" ht="24" customHeight="1">
      <x:c r="A237" s="2" t="n">
        <x:v>237</x:v>
      </x:c>
      <x:c r="B237" s="2" t="str">
        <x:v>Harz</x:v>
      </x:c>
      <x:c r="C237" s="7" t="n">
        <x:f>COUNTIF('Kreise_2015'!$C$2:$C$403,A237)</x:f>
        <x:v>1</x:v>
      </x:c>
      <x:c r="D237" s="7" t="n">
        <x:f>SUMIF('Kreise_2015'!$C$2:$C$403,A237,'Kreise_2015'!$F$2:$F$403)</x:f>
        <x:v>52622</x:v>
      </x:c>
      <x:c r="E237" s="8" t="n">
        <x:f>SUMIF('Kreise_2015'!$C$2:$C$403,A237,'Kreise_2015'!$G$2:$G$403)/D237</x:f>
        <x:v>2300.46875</x:v>
      </x:c>
      <x:c r="F237" s="2" t="n">
        <x:v>2015</x:v>
      </x:c>
      <x:c r="G237" s="9" t="n">
        <x:f>SUMIF('Kreise_2015'!$C$2:$C$403,A237,'Kreise_2015'!$H$2:$H$403)</x:f>
        <x:v>1</x:v>
      </x:c>
    </x:row>
    <x:row r="238" ht="24" customHeight="1">
      <x:c r="A238" s="2" t="n">
        <x:v>238</x:v>
      </x:c>
      <x:c r="B238" s="2" t="str">
        <x:v>Mansfeld-Südharz</x:v>
      </x:c>
      <x:c r="C238" s="7" t="n">
        <x:f>COUNTIF('Kreise_2015'!$C$2:$C$403,A238)</x:f>
        <x:v>1</x:v>
      </x:c>
      <x:c r="D238" s="7" t="n">
        <x:f>SUMIF('Kreise_2015'!$C$2:$C$403,A238,'Kreise_2015'!$F$2:$F$403)</x:f>
        <x:v>27497</x:v>
      </x:c>
      <x:c r="E238" s="8" t="n">
        <x:f>SUMIF('Kreise_2015'!$C$2:$C$403,A238,'Kreise_2015'!$G$2:$G$403)/D238</x:f>
        <x:v>2166.5404624277458</x:v>
      </x:c>
      <x:c r="F238" s="2" t="n">
        <x:v>2015</x:v>
      </x:c>
      <x:c r="G238" s="9" t="n">
        <x:f>SUMIF('Kreise_2015'!$C$2:$C$403,A238,'Kreise_2015'!$H$2:$H$403)</x:f>
        <x:v>1</x:v>
      </x:c>
    </x:row>
    <x:row r="239" ht="24" customHeight="1">
      <x:c r="A239" s="2" t="n">
        <x:v>239</x:v>
      </x:c>
      <x:c r="B239" s="2" t="str">
        <x:v>Salzlandkreis</x:v>
      </x:c>
      <x:c r="C239" s="7" t="n">
        <x:f>COUNTIF('Kreise_2015'!$C$2:$C$403,A239)</x:f>
        <x:v>1</x:v>
      </x:c>
      <x:c r="D239" s="7" t="n">
        <x:f>SUMIF('Kreise_2015'!$C$2:$C$403,A239,'Kreise_2015'!$F$2:$F$403)</x:f>
        <x:v>44542</x:v>
      </x:c>
      <x:c r="E239" s="8" t="n">
        <x:f>SUMIF('Kreise_2015'!$C$2:$C$403,A239,'Kreise_2015'!$G$2:$G$403)/D239</x:f>
        <x:v>2318.510752688172</x:v>
      </x:c>
      <x:c r="F239" s="2" t="n">
        <x:v>2015</x:v>
      </x:c>
      <x:c r="G239" s="9" t="n">
        <x:f>SUMIF('Kreise_2015'!$C$2:$C$403,A239,'Kreise_2015'!$H$2:$H$403)</x:f>
        <x:v>1</x:v>
      </x:c>
    </x:row>
    <x:row r="240" ht="24" customHeight="1">
      <x:c r="A240" s="2" t="n">
        <x:v>240</x:v>
      </x:c>
      <x:c r="B240" s="2" t="str">
        <x:v>Stendal</x:v>
      </x:c>
      <x:c r="C240" s="7" t="n">
        <x:f>COUNTIF('Kreise_2015'!$C$2:$C$403,A240)</x:f>
        <x:v>1</x:v>
      </x:c>
      <x:c r="D240" s="7" t="n">
        <x:f>SUMIF('Kreise_2015'!$C$2:$C$403,A240,'Kreise_2015'!$F$2:$F$403)</x:f>
        <x:v>24711</x:v>
      </x:c>
      <x:c r="E240" s="8" t="n">
        <x:f>SUMIF('Kreise_2015'!$C$2:$C$403,A240,'Kreise_2015'!$G$2:$G$403)/D240</x:f>
        <x:v>2225.3192771084337</x:v>
      </x:c>
      <x:c r="F240" s="2" t="n">
        <x:v>2015</x:v>
      </x:c>
      <x:c r="G240" s="9" t="n">
        <x:f>SUMIF('Kreise_2015'!$C$2:$C$403,A240,'Kreise_2015'!$H$2:$H$403)</x:f>
        <x:v>1</x:v>
      </x:c>
    </x:row>
    <x:row r="241" ht="24" customHeight="1">
      <x:c r="A241" s="2" t="n">
        <x:v>241</x:v>
      </x:c>
      <x:c r="B241" s="2" t="str">
        <x:v>Wittenberg</x:v>
      </x:c>
      <x:c r="C241" s="7" t="n">
        <x:f>COUNTIF('Kreise_2015'!$C$2:$C$403,A241)</x:f>
        <x:v>1</x:v>
      </x:c>
      <x:c r="D241" s="7" t="n">
        <x:f>SUMIF('Kreise_2015'!$C$2:$C$403,A241,'Kreise_2015'!$F$2:$F$403)</x:f>
        <x:v>29261</x:v>
      </x:c>
      <x:c r="E241" s="8" t="n">
        <x:f>SUMIF('Kreise_2015'!$C$2:$C$403,A241,'Kreise_2015'!$G$2:$G$403)/D241</x:f>
        <x:v>2149.186305732484</x:v>
      </x:c>
      <x:c r="F241" s="2" t="n">
        <x:v>2015</x:v>
      </x:c>
      <x:c r="G241" s="9" t="n">
        <x:f>SUMIF('Kreise_2015'!$C$2:$C$403,A241,'Kreise_2015'!$H$2:$H$403)</x:f>
        <x:v>1</x:v>
      </x:c>
    </x:row>
    <x:row r="242" ht="24" customHeight="1">
      <x:c r="A242" s="2" t="n">
        <x:v>242</x:v>
      </x:c>
      <x:c r="B242" s="2" t="str">
        <x:v>Erfurt</x:v>
      </x:c>
      <x:c r="C242" s="7" t="n">
        <x:f>COUNTIF('Kreise_2015'!$C$2:$C$403,A242)</x:f>
        <x:v>2</x:v>
      </x:c>
      <x:c r="D242" s="7" t="n">
        <x:f>SUMIF('Kreise_2015'!$C$2:$C$403,A242,'Kreise_2015'!$F$2:$F$403)</x:f>
        <x:v>97447</x:v>
      </x:c>
      <x:c r="E242" s="8" t="n">
        <x:f>SUMIF('Kreise_2015'!$C$2:$C$403,A242,'Kreise_2015'!$G$2:$G$403)/D242</x:f>
        <x:v>2481.2312406107135</x:v>
      </x:c>
      <x:c r="F242" s="2" t="n">
        <x:v>2015</x:v>
      </x:c>
      <x:c r="G242" s="9" t="n">
        <x:f>SUMIF('Kreise_2015'!$C$2:$C$403,A242,'Kreise_2015'!$H$2:$H$403)</x:f>
        <x:v>1</x:v>
      </x:c>
    </x:row>
    <x:row r="243" ht="24" customHeight="1">
      <x:c r="A243" s="2" t="n">
        <x:v>243</x:v>
      </x:c>
      <x:c r="B243" s="2" t="str">
        <x:v>Gera</x:v>
      </x:c>
      <x:c r="C243" s="7" t="n">
        <x:f>COUNTIF('Kreise_2015'!$C$2:$C$403,A243)</x:f>
        <x:v>2</x:v>
      </x:c>
      <x:c r="D243" s="7" t="n">
        <x:f>SUMIF('Kreise_2015'!$C$2:$C$403,A243,'Kreise_2015'!$F$2:$F$403)</x:f>
        <x:v>47716</x:v>
      </x:c>
      <x:c r="E243" s="8" t="n">
        <x:f>SUMIF('Kreise_2015'!$C$2:$C$403,A243,'Kreise_2015'!$G$2:$G$403)/D243</x:f>
        <x:v>2185.396100772448</x:v>
      </x:c>
      <x:c r="F243" s="2" t="n">
        <x:v>2015</x:v>
      </x:c>
      <x:c r="G243" s="9" t="n">
        <x:f>SUMIF('Kreise_2015'!$C$2:$C$403,A243,'Kreise_2015'!$H$2:$H$403)</x:f>
        <x:v>1</x:v>
      </x:c>
    </x:row>
    <x:row r="244" ht="24" customHeight="1">
      <x:c r="A244" s="2" t="n">
        <x:v>244</x:v>
      </x:c>
      <x:c r="B244" s="2" t="str">
        <x:v>Jena</x:v>
      </x:c>
      <x:c r="C244" s="7" t="n">
        <x:f>COUNTIF('Kreise_2015'!$C$2:$C$403,A244)</x:f>
        <x:v>2</x:v>
      </x:c>
      <x:c r="D244" s="7" t="n">
        <x:f>SUMIF('Kreise_2015'!$C$2:$C$403,A244,'Kreise_2015'!$F$2:$F$403)</x:f>
        <x:v>58836</x:v>
      </x:c>
      <x:c r="E244" s="8" t="n">
        <x:f>SUMIF('Kreise_2015'!$C$2:$C$403,A244,'Kreise_2015'!$G$2:$G$403)/D244</x:f>
        <x:v>2650.726617564553</x:v>
      </x:c>
      <x:c r="F244" s="2" t="n">
        <x:v>2015</x:v>
      </x:c>
      <x:c r="G244" s="9" t="n">
        <x:f>SUMIF('Kreise_2015'!$C$2:$C$403,A244,'Kreise_2015'!$H$2:$H$403)</x:f>
        <x:v>1</x:v>
      </x:c>
    </x:row>
    <x:row r="245" ht="24" customHeight="1">
      <x:c r="A245" s="2" t="n">
        <x:v>245</x:v>
      </x:c>
      <x:c r="B245" s="2" t="str">
        <x:v>Suhl</x:v>
      </x:c>
      <x:c r="C245" s="7" t="n">
        <x:f>COUNTIF('Kreise_2015'!$C$2:$C$403,A245)</x:f>
        <x:v>2</x:v>
      </x:c>
      <x:c r="D245" s="7" t="n">
        <x:f>SUMIF('Kreise_2015'!$C$2:$C$403,A245,'Kreise_2015'!$F$2:$F$403)</x:f>
        <x:v>26586</x:v>
      </x:c>
      <x:c r="E245" s="8" t="n">
        <x:f>SUMIF('Kreise_2015'!$C$2:$C$403,A245,'Kreise_2015'!$G$2:$G$403)/D245</x:f>
        <x:v>2235.8634927325443</x:v>
      </x:c>
      <x:c r="F245" s="2" t="n">
        <x:v>2015</x:v>
      </x:c>
      <x:c r="G245" s="9" t="n">
        <x:f>SUMIF('Kreise_2015'!$C$2:$C$403,A245,'Kreise_2015'!$H$2:$H$403)</x:f>
        <x:v>1</x:v>
      </x:c>
    </x:row>
    <x:row r="246" ht="24" customHeight="1">
      <x:c r="A246" s="2" t="n">
        <x:v>246</x:v>
      </x:c>
      <x:c r="B246" s="2" t="str">
        <x:v>Weimar</x:v>
      </x:c>
      <x:c r="C246" s="7" t="n">
        <x:f>COUNTIF('Kreise_2015'!$C$2:$C$403,A246)</x:f>
        <x:v>2</x:v>
      </x:c>
      <x:c r="D246" s="7" t="n">
        <x:f>SUMIF('Kreise_2015'!$C$2:$C$403,A246,'Kreise_2015'!$F$2:$F$403)</x:f>
        <x:v>34554</x:v>
      </x:c>
      <x:c r="E246" s="8" t="n">
        <x:f>SUMIF('Kreise_2015'!$C$2:$C$403,A246,'Kreise_2015'!$G$2:$G$403)/D246</x:f>
        <x:v>2457.2765905563374</x:v>
      </x:c>
      <x:c r="F246" s="2" t="n">
        <x:v>2015</x:v>
      </x:c>
      <x:c r="G246" s="9" t="n">
        <x:f>SUMIF('Kreise_2015'!$C$2:$C$403,A246,'Kreise_2015'!$H$2:$H$403)</x:f>
        <x:v>1</x:v>
      </x:c>
    </x:row>
    <x:row r="247" ht="24" customHeight="1">
      <x:c r="A247" s="2" t="n">
        <x:v>247</x:v>
      </x:c>
      <x:c r="B247" s="2" t="str">
        <x:v>Eisenach</x:v>
      </x:c>
      <x:c r="C247" s="7" t="n">
        <x:f>COUNTIF('Kreise_2015'!$C$2:$C$403,A247)</x:f>
        <x:v>2</x:v>
      </x:c>
      <x:c r="D247" s="7" t="n">
        <x:f>SUMIF('Kreise_2015'!$C$2:$C$403,A247,'Kreise_2015'!$F$2:$F$403)</x:f>
        <x:v>49807</x:v>
      </x:c>
      <x:c r="E247" s="8" t="n">
        <x:f>SUMIF('Kreise_2015'!$C$2:$C$403,A247,'Kreise_2015'!$G$2:$G$403)/D247</x:f>
        <x:v>2427.8510887159573</x:v>
      </x:c>
      <x:c r="F247" s="2" t="n">
        <x:v>2015</x:v>
      </x:c>
      <x:c r="G247" s="9" t="n">
        <x:f>SUMIF('Kreise_2015'!$C$2:$C$403,A247,'Kreise_2015'!$H$2:$H$403)</x:f>
        <x:v>1</x:v>
      </x:c>
    </x:row>
    <x:row r="248" ht="24" customHeight="1">
      <x:c r="A248" s="2" t="n">
        <x:v>248</x:v>
      </x:c>
      <x:c r="B248" s="2" t="str">
        <x:v>Eichsfeld</x:v>
      </x:c>
      <x:c r="C248" s="7" t="n">
        <x:f>COUNTIF('Kreise_2015'!$C$2:$C$403,A248)</x:f>
        <x:v>1</x:v>
      </x:c>
      <x:c r="D248" s="7" t="n">
        <x:f>SUMIF('Kreise_2015'!$C$2:$C$403,A248,'Kreise_2015'!$F$2:$F$403)</x:f>
        <x:v>25982</x:v>
      </x:c>
      <x:c r="E248" s="8" t="n">
        <x:f>SUMIF('Kreise_2015'!$C$2:$C$403,A248,'Kreise_2015'!$G$2:$G$403)/D248</x:f>
        <x:v>2203.546357615894</x:v>
      </x:c>
      <x:c r="F248" s="2" t="n">
        <x:v>2015</x:v>
      </x:c>
      <x:c r="G248" s="9" t="n">
        <x:f>SUMIF('Kreise_2015'!$C$2:$C$403,A248,'Kreise_2015'!$H$2:$H$403)</x:f>
        <x:v>1</x:v>
      </x:c>
    </x:row>
    <x:row r="249" ht="24" customHeight="1">
      <x:c r="A249" s="2" t="n">
        <x:v>249</x:v>
      </x:c>
      <x:c r="B249" s="2" t="str">
        <x:v>Nordhausen</x:v>
      </x:c>
      <x:c r="C249" s="7" t="n">
        <x:f>COUNTIF('Kreise_2015'!$C$2:$C$403,A249)</x:f>
        <x:v>1</x:v>
      </x:c>
      <x:c r="D249" s="7" t="n">
        <x:f>SUMIF('Kreise_2015'!$C$2:$C$403,A249,'Kreise_2015'!$F$2:$F$403)</x:f>
        <x:v>21765</x:v>
      </x:c>
      <x:c r="E249" s="8" t="n">
        <x:f>SUMIF('Kreise_2015'!$C$2:$C$403,A249,'Kreise_2015'!$G$2:$G$403)/D249</x:f>
        <x:v>2331.767409470752</x:v>
      </x:c>
      <x:c r="F249" s="2" t="n">
        <x:v>2015</x:v>
      </x:c>
      <x:c r="G249" s="9" t="n">
        <x:f>SUMIF('Kreise_2015'!$C$2:$C$403,A249,'Kreise_2015'!$H$2:$H$403)</x:f>
        <x:v>1</x:v>
      </x:c>
    </x:row>
    <x:row r="250" ht="24" customHeight="1">
      <x:c r="A250" s="2" t="n">
        <x:v>250</x:v>
      </x:c>
      <x:c r="B250" s="2" t="str">
        <x:v>Mühlhausen</x:v>
      </x:c>
      <x:c r="C250" s="7" t="n">
        <x:f>COUNTIF('Kreise_2015'!$C$2:$C$403,A250)</x:f>
        <x:v>1</x:v>
      </x:c>
      <x:c r="D250" s="7" t="n">
        <x:f>SUMIF('Kreise_2015'!$C$2:$C$403,A250,'Kreise_2015'!$F$2:$F$403)</x:f>
        <x:v>24481</x:v>
      </x:c>
      <x:c r="E250" s="8" t="n">
        <x:f>SUMIF('Kreise_2015'!$C$2:$C$403,A250,'Kreise_2015'!$G$2:$G$403)/D250</x:f>
        <x:v>2098.8527131782944</x:v>
      </x:c>
      <x:c r="F250" s="2" t="n">
        <x:v>2015</x:v>
      </x:c>
      <x:c r="G250" s="9" t="n">
        <x:f>SUMIF('Kreise_2015'!$C$2:$C$403,A250,'Kreise_2015'!$H$2:$H$403)</x:f>
        <x:v>1</x:v>
      </x:c>
    </x:row>
    <x:row r="251" ht="24" customHeight="1">
      <x:c r="A251" s="2" t="n">
        <x:v>251</x:v>
      </x:c>
      <x:c r="B251" s="2" t="str">
        <x:v>Sondershausen</x:v>
      </x:c>
      <x:c r="C251" s="7" t="n">
        <x:f>COUNTIF('Kreise_2015'!$C$2:$C$403,A251)</x:f>
        <x:v>1</x:v>
      </x:c>
      <x:c r="D251" s="7" t="n">
        <x:f>SUMIF('Kreise_2015'!$C$2:$C$403,A251,'Kreise_2015'!$F$2:$F$403)</x:f>
        <x:v>14300</x:v>
      </x:c>
      <x:c r="E251" s="8" t="n">
        <x:f>SUMIF('Kreise_2015'!$C$2:$C$403,A251,'Kreise_2015'!$G$2:$G$403)/D251</x:f>
        <x:v>2256.9772727272725</x:v>
      </x:c>
      <x:c r="F251" s="2" t="n">
        <x:v>2015</x:v>
      </x:c>
      <x:c r="G251" s="9" t="n">
        <x:f>SUMIF('Kreise_2015'!$C$2:$C$403,A251,'Kreise_2015'!$H$2:$H$403)</x:f>
        <x:v>1</x:v>
      </x:c>
    </x:row>
    <x:row r="252" ht="24" customHeight="1">
      <x:c r="A252" s="2" t="n">
        <x:v>252</x:v>
      </x:c>
      <x:c r="B252" s="2" t="str">
        <x:v>Meiningen</x:v>
      </x:c>
      <x:c r="C252" s="7" t="n">
        <x:f>COUNTIF('Kreise_2015'!$C$2:$C$403,A252)</x:f>
        <x:v>1</x:v>
      </x:c>
      <x:c r="D252" s="7" t="n">
        <x:f>SUMIF('Kreise_2015'!$C$2:$C$403,A252,'Kreise_2015'!$F$2:$F$403)</x:f>
        <x:v>32182</x:v>
      </x:c>
      <x:c r="E252" s="8" t="n">
        <x:f>SUMIF('Kreise_2015'!$C$2:$C$403,A252,'Kreise_2015'!$G$2:$G$403)/D252</x:f>
        <x:v>2197.813237221494</x:v>
      </x:c>
      <x:c r="F252" s="2" t="n">
        <x:v>2015</x:v>
      </x:c>
      <x:c r="G252" s="9" t="n">
        <x:f>SUMIF('Kreise_2015'!$C$2:$C$403,A252,'Kreise_2015'!$H$2:$H$403)</x:f>
        <x:v>1</x:v>
      </x:c>
    </x:row>
    <x:row r="253" ht="24" customHeight="1">
      <x:c r="A253" s="2" t="n">
        <x:v>253</x:v>
      </x:c>
      <x:c r="B253" s="2" t="str">
        <x:v>Gotha</x:v>
      </x:c>
      <x:c r="C253" s="7" t="n">
        <x:f>COUNTIF('Kreise_2015'!$C$2:$C$403,A253)</x:f>
        <x:v>1</x:v>
      </x:c>
      <x:c r="D253" s="7" t="n">
        <x:f>SUMIF('Kreise_2015'!$C$2:$C$403,A253,'Kreise_2015'!$F$2:$F$403)</x:f>
        <x:v>37300</x:v>
      </x:c>
      <x:c r="E253" s="8" t="n">
        <x:f>SUMIF('Kreise_2015'!$C$2:$C$403,A253,'Kreise_2015'!$G$2:$G$403)/D253</x:f>
        <x:v>2294.00699844479</x:v>
      </x:c>
      <x:c r="F253" s="2" t="n">
        <x:v>2015</x:v>
      </x:c>
      <x:c r="G253" s="9" t="n">
        <x:f>SUMIF('Kreise_2015'!$C$2:$C$403,A253,'Kreise_2015'!$H$2:$H$403)</x:f>
        <x:v>1</x:v>
      </x:c>
    </x:row>
    <x:row r="254" ht="24" customHeight="1">
      <x:c r="A254" s="2" t="n">
        <x:v>254</x:v>
      </x:c>
      <x:c r="B254" s="2" t="str">
        <x:v>Arnstadt</x:v>
      </x:c>
      <x:c r="C254" s="7" t="n">
        <x:f>COUNTIF('Kreise_2015'!$C$2:$C$403,A254)</x:f>
        <x:v>1</x:v>
      </x:c>
      <x:c r="D254" s="7" t="n">
        <x:f>SUMIF('Kreise_2015'!$C$2:$C$403,A254,'Kreise_2015'!$F$2:$F$403)</x:f>
        <x:v>29005</x:v>
      </x:c>
      <x:c r="E254" s="8" t="n">
        <x:f>SUMIF('Kreise_2015'!$C$2:$C$403,A254,'Kreise_2015'!$G$2:$G$403)/D254</x:f>
        <x:v>2370.362385321101</x:v>
      </x:c>
      <x:c r="F254" s="2" t="n">
        <x:v>2015</x:v>
      </x:c>
      <x:c r="G254" s="9" t="n">
        <x:f>SUMIF('Kreise_2015'!$C$2:$C$403,A254,'Kreise_2015'!$H$2:$H$403)</x:f>
        <x:v>1</x:v>
      </x:c>
    </x:row>
    <x:row r="255" ht="24" customHeight="1">
      <x:c r="A255" s="2" t="n">
        <x:v>255</x:v>
      </x:c>
      <x:c r="B255" s="2" t="str">
        <x:v>Sonneberg</x:v>
      </x:c>
      <x:c r="C255" s="7" t="n">
        <x:f>COUNTIF('Kreise_2015'!$C$2:$C$403,A255)</x:f>
        <x:v>1</x:v>
      </x:c>
      <x:c r="D255" s="7" t="n">
        <x:f>SUMIF('Kreise_2015'!$C$2:$C$403,A255,'Kreise_2015'!$F$2:$F$403)</x:f>
        <x:v>16850</x:v>
      </x:c>
      <x:c r="E255" s="8" t="n">
        <x:f>SUMIF('Kreise_2015'!$C$2:$C$403,A255,'Kreise_2015'!$G$2:$G$403)/D255</x:f>
        <x:v>2205.0691906005222</x:v>
      </x:c>
      <x:c r="F255" s="2" t="n">
        <x:v>2015</x:v>
      </x:c>
      <x:c r="G255" s="9" t="n">
        <x:f>SUMIF('Kreise_2015'!$C$2:$C$403,A255,'Kreise_2015'!$H$2:$H$403)</x:f>
        <x:v>1</x:v>
      </x:c>
    </x:row>
    <x:row r="256" ht="24" customHeight="1">
      <x:c r="A256" s="2" t="n">
        <x:v>256</x:v>
      </x:c>
      <x:c r="B256" s="2" t="str">
        <x:v>Saalfeld</x:v>
      </x:c>
      <x:c r="C256" s="7" t="n">
        <x:f>COUNTIF('Kreise_2015'!$C$2:$C$403,A256)</x:f>
        <x:v>1</x:v>
      </x:c>
      <x:c r="D256" s="7" t="n">
        <x:f>SUMIF('Kreise_2015'!$C$2:$C$403,A256,'Kreise_2015'!$F$2:$F$403)</x:f>
        <x:v>26728</x:v>
      </x:c>
      <x:c r="E256" s="8" t="n">
        <x:f>SUMIF('Kreise_2015'!$C$2:$C$403,A256,'Kreise_2015'!$G$2:$G$403)/D256</x:f>
        <x:v>2310.4046610169494</x:v>
      </x:c>
      <x:c r="F256" s="2" t="n">
        <x:v>2015</x:v>
      </x:c>
      <x:c r="G256" s="9" t="n">
        <x:f>SUMIF('Kreise_2015'!$C$2:$C$403,A256,'Kreise_2015'!$H$2:$H$403)</x:f>
        <x:v>1</x:v>
      </x:c>
    </x:row>
    <x:row r="257" ht="24" customHeight="1">
      <x:c r="A257" s="2" t="n">
        <x:v>257</x:v>
      </x:c>
      <x:c r="B257" s="2" t="str">
        <x:v>Pößneck</x:v>
      </x:c>
      <x:c r="C257" s="7" t="n">
        <x:f>COUNTIF('Kreise_2015'!$C$2:$C$403,A257)</x:f>
        <x:v>1</x:v>
      </x:c>
      <x:c r="D257" s="7" t="n">
        <x:f>SUMIF('Kreise_2015'!$C$2:$C$403,A257,'Kreise_2015'!$F$2:$F$403)</x:f>
        <x:v>22794</x:v>
      </x:c>
      <x:c r="E257" s="8" t="n">
        <x:f>SUMIF('Kreise_2015'!$C$2:$C$403,A257,'Kreise_2015'!$G$2:$G$403)/D257</x:f>
        <x:v>2097.088693957115</x:v>
      </x:c>
      <x:c r="F257" s="2" t="n">
        <x:v>2015</x:v>
      </x:c>
      <x:c r="G257" s="9" t="n">
        <x:f>SUMIF('Kreise_2015'!$C$2:$C$403,A257,'Kreise_2015'!$H$2:$H$403)</x:f>
        <x:v>1</x:v>
      </x:c>
    </x:row>
    <x:row r="258" ht="24" customHeight="1">
      <x:c r="A258" s="2" t="n">
        <x:v>258</x:v>
      </x:c>
      <x:c r="B258" s="2" t="str">
        <x:v>Altenburg</x:v>
      </x:c>
      <x:c r="C258" s="7" t="n">
        <x:f>COUNTIF('Kreise_2015'!$C$2:$C$403,A258)</x:f>
        <x:v>1</x:v>
      </x:c>
      <x:c r="D258" s="7" t="n">
        <x:f>SUMIF('Kreise_2015'!$C$2:$C$403,A258,'Kreise_2015'!$F$2:$F$403)</x:f>
        <x:v>19348</x:v>
      </x:c>
      <x:c r="E258" s="8" t="n">
        <x:f>SUMIF('Kreise_2015'!$C$2:$C$403,A258,'Kreise_2015'!$G$2:$G$403)/D258</x:f>
        <x:v>2068.5503731343283</x:v>
      </x:c>
      <x:c r="F258" s="2" t="n">
        <x:v>2015</x:v>
      </x:c>
      <x:c r="G258" s="9" t="n">
        <x:f>SUMIF('Kreise_2015'!$C$2:$C$403,A258,'Kreise_2015'!$H$2:$H$403)</x:f>
        <x: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4" hidden="0" customWidth="1"/>
    <x:col min="3" max="3" width="10" hidden="0" customWidth="1"/>
    <x:col min="4" max="4" width="32" hidden="0" customWidth="1"/>
    <x:col min="5" max="5" width="29" hidden="0" customWidth="1"/>
    <x:col min="6" max="6" width="27" hidden="0" customWidth="1"/>
    <x:col min="7" max="7" width="29" hidden="0" customWidth="1"/>
    <x:col min="8" max="8" width="24" hidden="0" customWidth="1"/>
    <x:col min="9" max="9" width="35" hidden="0" customWidth="1"/>
    <x:col min="10" max="10" width="35" hidden="0" customWidth="1"/>
    <x:col min="11" max="11" width="35" hidden="0" customWidth="1"/>
  </x:cols>
  <x:sheetData>
    <x:row r="1" ht="50" customHeight="1">
      <x:c r="A1" s="5" t="str">
        <x:v>kreisschluessel</x:v>
      </x:c>
      <x:c r="B1" s="5" t="str">
        <x:v>kreis_name</x:v>
      </x:c>
      <x:c r="C1" s="5" t="str">
        <x:v>amr</x:v>
      </x:c>
      <x:c r="D1" s="5" t="str">
        <x:v>amr_name_bbsr</x:v>
      </x:c>
      <x:c r="E1" s="5" t="str">
        <x:v>median_brutto_monat_eur</x:v>
      </x:c>
      <x:c r="F1" s="5" t="str">
        <x:v>sv_vollzeit_arbeitsort</x:v>
      </x:c>
      <x:c r="G1" s="5" t="str">
        <x:v>median_x_beschaeftigte</x:v>
      </x:c>
      <x:c r="H1" s="5" t="str">
        <x:v>gewicht_in_amr</x:v>
      </x:c>
      <x:c r="I1" s="5" t="str">
        <x:v>quelle_median</x:v>
      </x:c>
      <x:c r="J1" s="5" t="str">
        <x:v>quelle_beschaeftigte</x:v>
      </x:c>
      <x:c r="K1" s="5" t="str">
        <x:v>quelle_zuordnung</x:v>
      </x:c>
    </x:row>
    <x:row r="2" ht="24" customHeight="1">
      <x:c r="A2" s="6" t="str">
        <x:v>01001</x:v>
      </x:c>
      <x:c r="B2" s="2" t="str">
        <x:v>Flensburg, Stadt</x:v>
      </x:c>
      <x:c r="C2" s="2" t="n">
        <x:v>4</x:v>
      </x:c>
      <x:c r="D2" s="2" t="str">
        <x:v>Flensburg</x:v>
      </x:c>
      <x:c r="E2" s="8" t="n">
        <x:v>2884.8575418994415</x:v>
      </x:c>
      <x:c r="F2" s="7" t="n">
        <x:v>28384</x:v>
      </x:c>
      <x:c r="G2" s="8" t="n">
        <x:f>E2*F2</x:f>
        <x:v>81883796.46927375</x:v>
      </x:c>
      <x:c r="H2" s="10" t="n">
        <x:f>F2/SUMIF($C$2:$C$403,C2,$F$2:$F$403)</x:f>
        <x:v>0.44200133920924367</x:v>
      </x:c>
      <x:c r="I2" s="2" t="str">
        <x:v>https://statistik.arbeitsagentur.de/Statistikdaten/Detail/201512/iiia6/beschaeftigung-entgelt-entgelt/entgelt-d-0-201512-xlsm.xlsm?__blob=publicationFile&amp;v=2</x:v>
      </x:c>
      <x:c r="J2" s="2" t="str">
        <x:v>https://statistik.arbeitsagentur.de/Statistikdaten/Detail/201512/iiia6/beschaeftigung-sozbe-svb-kreise-merkmale/svb-kreise-merkmale-d-0-201512-xlsx.xlsx?__blob=publicationFile&amp;v=1</x:v>
      </x:c>
      <x:c r="K2" s="2" t="str">
        <x:v>https://www.bbsr.bund.de/BBSR/DE/forschung/raumbeobachtung/Raumabgrenzungen/deutschland/regionen/arbeitsmarktregionen/arbeitsmarktregionen-2017.csv?__blob=publicationFile&amp;v=2</x:v>
      </x:c>
    </x:row>
    <x:row r="3" ht="24" customHeight="1">
      <x:c r="A3" s="6" t="str">
        <x:v>01002</x:v>
      </x:c>
      <x:c r="B3" s="2" t="str">
        <x:v>Kiel, Landeshauptstadt</x:v>
      </x:c>
      <x:c r="C3" s="2" t="n">
        <x:v>6</x:v>
      </x:c>
      <x:c r="D3" s="2" t="str">
        <x:v>Kiel</x:v>
      </x:c>
      <x:c r="E3" s="8" t="n">
        <x:v>3189.00861287398</x:v>
      </x:c>
      <x:c r="F3" s="7" t="n">
        <x:v>80649</x:v>
      </x:c>
      <x:c r="G3" s="8" t="n">
        <x:f>E3*F3</x:f>
        <x:v>257190355.6196736</x:v>
      </x:c>
      <x:c r="H3" s="10" t="n">
        <x:f>F3/SUMIF($C$2:$C$403,C3,$F$2:$F$403)</x:f>
        <x:v>0.4605330028951411</x:v>
      </x:c>
      <x:c r="I3" s="2" t="str">
        <x:v>https://statistik.arbeitsagentur.de/Statistikdaten/Detail/201512/iiia6/beschaeftigung-entgelt-entgelt/entgelt-d-0-201512-xlsm.xlsm?__blob=publicationFile&amp;v=2</x:v>
      </x:c>
      <x:c r="J3" s="2" t="str">
        <x:v>https://statistik.arbeitsagentur.de/Statistikdaten/Detail/201512/iiia6/beschaeftigung-sozbe-svb-kreise-merkmale/svb-kreise-merkmale-d-0-201512-xlsx.xlsx?__blob=publicationFile&amp;v=1</x:v>
      </x:c>
      <x:c r="K3" s="2" t="str">
        <x:v>https://www.bbsr.bund.de/BBSR/DE/forschung/raumbeobachtung/Raumabgrenzungen/deutschland/regionen/arbeitsmarktregionen/arbeitsmarktregionen-2017.csv?__blob=publicationFile&amp;v=2</x:v>
      </x:c>
    </x:row>
    <x:row r="4" ht="24" customHeight="1">
      <x:c r="A4" s="6" t="str">
        <x:v>01003</x:v>
      </x:c>
      <x:c r="B4" s="2" t="str">
        <x:v>Lübeck, Hansestadt</x:v>
      </x:c>
      <x:c r="C4" s="2" t="n">
        <x:v>5</x:v>
      </x:c>
      <x:c r="D4" s="2" t="str">
        <x:v>Lübeck</x:v>
      </x:c>
      <x:c r="E4" s="8" t="n">
        <x:v>2931.4210526315787</x:v>
      </x:c>
      <x:c r="F4" s="7" t="n">
        <x:v>63576</x:v>
      </x:c>
      <x:c r="G4" s="8" t="n">
        <x:f>E4*F4</x:f>
        <x:v>186368024.84210524</x:v>
      </x:c>
      <x:c r="H4" s="10" t="n">
        <x:f>F4/SUMIF($C$2:$C$403,C4,$F$2:$F$403)</x:f>
        <x:v>0.6312591224568824</x:v>
      </x:c>
      <x:c r="I4" s="2" t="str">
        <x:v>https://statistik.arbeitsagentur.de/Statistikdaten/Detail/201512/iiia6/beschaeftigung-entgelt-entgelt/entgelt-d-0-201512-xlsm.xlsm?__blob=publicationFile&amp;v=2</x:v>
      </x:c>
      <x:c r="J4" s="2" t="str">
        <x:v>https://statistik.arbeitsagentur.de/Statistikdaten/Detail/201512/iiia6/beschaeftigung-sozbe-svb-kreise-merkmale/svb-kreise-merkmale-d-0-201512-xlsx.xlsx?__blob=publicationFile&amp;v=1</x:v>
      </x:c>
      <x:c r="K4" s="2" t="str">
        <x:v>https://www.bbsr.bund.de/BBSR/DE/forschung/raumbeobachtung/Raumabgrenzungen/deutschland/regionen/arbeitsmarktregionen/arbeitsmarktregionen-2017.csv?__blob=publicationFile&amp;v=2</x:v>
      </x:c>
    </x:row>
    <x:row r="5" ht="24" customHeight="1">
      <x:c r="A5" s="6" t="str">
        <x:v>01004</x:v>
      </x:c>
      <x:c r="B5" s="2" t="str">
        <x:v>Neumünster, Stadt</x:v>
      </x:c>
      <x:c r="C5" s="2" t="n">
        <x:v>6</x:v>
      </x:c>
      <x:c r="D5" s="2" t="str">
        <x:v>Kiel</x:v>
      </x:c>
      <x:c r="E5" s="8" t="n">
        <x:v>2733.458984375</x:v>
      </x:c>
      <x:c r="F5" s="7" t="n">
        <x:v>26922</x:v>
      </x:c>
      <x:c r="G5" s="8" t="n">
        <x:f>E5*F5</x:f>
        <x:v>73590182.77734375</x:v>
      </x:c>
      <x:c r="H5" s="10" t="n">
        <x:f>F5/SUMIF($C$2:$C$403,C5,$F$2:$F$403)</x:f>
        <x:v>0.1537337041245767</x:v>
      </x:c>
      <x:c r="I5" s="2" t="str">
        <x:v>https://statistik.arbeitsagentur.de/Statistikdaten/Detail/201512/iiia6/beschaeftigung-entgelt-entgelt/entgelt-d-0-201512-xlsm.xlsm?__blob=publicationFile&amp;v=2</x:v>
      </x:c>
      <x:c r="J5" s="2" t="str">
        <x:v>https://statistik.arbeitsagentur.de/Statistikdaten/Detail/201512/iiia6/beschaeftigung-sozbe-svb-kreise-merkmale/svb-kreise-merkmale-d-0-201512-xlsx.xlsx?__blob=publicationFile&amp;v=1</x:v>
      </x:c>
      <x:c r="K5" s="2" t="str">
        <x:v>https://www.bbsr.bund.de/BBSR/DE/forschung/raumbeobachtung/Raumabgrenzungen/deutschland/regionen/arbeitsmarktregionen/arbeitsmarktregionen-2017.csv?__blob=publicationFile&amp;v=2</x:v>
      </x:c>
    </x:row>
    <x:row r="6" ht="24" customHeight="1">
      <x:c r="A6" s="6" t="str">
        <x:v>01051</x:v>
      </x:c>
      <x:c r="B6" s="2" t="str">
        <x:v>Dithmarschen</x:v>
      </x:c>
      <x:c r="C6" s="2" t="n">
        <x:v>2</x:v>
      </x:c>
      <x:c r="D6" s="2" t="str">
        <x:v>Heide</x:v>
      </x:c>
      <x:c r="E6" s="8" t="n">
        <x:v>2767.8558897243106</x:v>
      </x:c>
      <x:c r="F6" s="7" t="n">
        <x:v>27324</x:v>
      </x:c>
      <x:c r="G6" s="8" t="n">
        <x:f>E6*F6</x:f>
        <x:v>75628894.33082706</x:v>
      </x:c>
      <x:c r="H6" s="10" t="n">
        <x:f>F6/SUMIF($C$2:$C$403,C6,$F$2:$F$403)</x:f>
        <x:v>1</x:v>
      </x:c>
      <x:c r="I6" s="2" t="str">
        <x:v>https://statistik.arbeitsagentur.de/Statistikdaten/Detail/201512/iiia6/beschaeftigung-entgelt-entgelt/entgelt-d-0-201512-xlsm.xlsm?__blob=publicationFile&amp;v=2</x:v>
      </x:c>
      <x:c r="J6" s="2" t="str">
        <x:v>https://statistik.arbeitsagentur.de/Statistikdaten/Detail/201512/iiia6/beschaeftigung-sozbe-svb-kreise-merkmale/svb-kreise-merkmale-d-0-201512-xlsx.xlsx?__blob=publicationFile&amp;v=1</x:v>
      </x:c>
      <x:c r="K6" s="2" t="str">
        <x:v>https://www.bbsr.bund.de/BBSR/DE/forschung/raumbeobachtung/Raumabgrenzungen/deutschland/regionen/arbeitsmarktregionen/arbeitsmarktregionen-2017.csv?__blob=publicationFile&amp;v=2</x:v>
      </x:c>
    </x:row>
    <x:row r="7" ht="24" customHeight="1">
      <x:c r="A7" s="6" t="str">
        <x:v>01053</x:v>
      </x:c>
      <x:c r="B7" s="2" t="str">
        <x:v>Herzogtum Lauenburg</x:v>
      </x:c>
      <x:c r="C7" s="2" t="n">
        <x:v>7</x:v>
      </x:c>
      <x:c r="D7" s="2" t="str">
        <x:v>Ratzeburg</x:v>
      </x:c>
      <x:c r="E7" s="8" t="n">
        <x:v>2718.4920477137175</x:v>
      </x:c>
      <x:c r="F7" s="7" t="n">
        <x:v>31191</x:v>
      </x:c>
      <x:c r="G7" s="8" t="n">
        <x:f>E7*F7</x:f>
        <x:v>84792485.46023856</x:v>
      </x:c>
      <x:c r="H7" s="10" t="n">
        <x:f>F7/SUMIF($C$2:$C$403,C7,$F$2:$F$403)</x:f>
        <x:v>1</x:v>
      </x:c>
      <x:c r="I7" s="2" t="str">
        <x:v>https://statistik.arbeitsagentur.de/Statistikdaten/Detail/201512/iiia6/beschaeftigung-entgelt-entgelt/entgelt-d-0-201512-xlsm.xlsm?__blob=publicationFile&amp;v=2</x:v>
      </x:c>
      <x:c r="J7" s="2" t="str">
        <x:v>https://statistik.arbeitsagentur.de/Statistikdaten/Detail/201512/iiia6/beschaeftigung-sozbe-svb-kreise-merkmale/svb-kreise-merkmale-d-0-201512-xlsx.xlsx?__blob=publicationFile&amp;v=1</x:v>
      </x:c>
      <x:c r="K7" s="2" t="str">
        <x:v>https://www.bbsr.bund.de/BBSR/DE/forschung/raumbeobachtung/Raumabgrenzungen/deutschland/regionen/arbeitsmarktregionen/arbeitsmarktregionen-2017.csv?__blob=publicationFile&amp;v=2</x:v>
      </x:c>
    </x:row>
    <x:row r="8" ht="24" customHeight="1">
      <x:c r="A8" s="6" t="str">
        <x:v>01054</x:v>
      </x:c>
      <x:c r="B8" s="2" t="str">
        <x:v>Nordfriesland</x:v>
      </x:c>
      <x:c r="C8" s="2" t="n">
        <x:v>1</x:v>
      </x:c>
      <x:c r="D8" s="2" t="str">
        <x:v>Husum</x:v>
      </x:c>
      <x:c r="E8" s="8" t="n">
        <x:v>2668.251479289941</x:v>
      </x:c>
      <x:c r="F8" s="7" t="n">
        <x:v>38927</x:v>
      </x:c>
      <x:c r="G8" s="8" t="n">
        <x:f>E8*F8</x:f>
        <x:v>103867025.33431953</x:v>
      </x:c>
      <x:c r="H8" s="10" t="n">
        <x:f>F8/SUMIF($C$2:$C$403,C8,$F$2:$F$403)</x:f>
        <x:v>1</x:v>
      </x:c>
      <x:c r="I8" s="2" t="str">
        <x:v>https://statistik.arbeitsagentur.de/Statistikdaten/Detail/201512/iiia6/beschaeftigung-entgelt-entgelt/entgelt-d-0-201512-xlsm.xlsm?__blob=publicationFile&amp;v=2</x:v>
      </x:c>
      <x:c r="J8" s="2" t="str">
        <x:v>https://statistik.arbeitsagentur.de/Statistikdaten/Detail/201512/iiia6/beschaeftigung-sozbe-svb-kreise-merkmale/svb-kreise-merkmale-d-0-201512-xlsx.xlsx?__blob=publicationFile&amp;v=1</x:v>
      </x:c>
      <x:c r="K8" s="2" t="str">
        <x:v>https://www.bbsr.bund.de/BBSR/DE/forschung/raumbeobachtung/Raumabgrenzungen/deutschland/regionen/arbeitsmarktregionen/arbeitsmarktregionen-2017.csv?__blob=publicationFile&amp;v=2</x:v>
      </x:c>
    </x:row>
    <x:row r="9" ht="24" customHeight="1">
      <x:c r="A9" s="6" t="str">
        <x:v>01055</x:v>
      </x:c>
      <x:c r="B9" s="2" t="str">
        <x:v>Ostholstein</x:v>
      </x:c>
      <x:c r="C9" s="2" t="n">
        <x:v>5</x:v>
      </x:c>
      <x:c r="D9" s="2" t="str">
        <x:v>Lübeck</x:v>
      </x:c>
      <x:c r="E9" s="8" t="n">
        <x:v>2516.1118143459917</x:v>
      </x:c>
      <x:c r="F9" s="7" t="n">
        <x:v>37137</x:v>
      </x:c>
      <x:c r="G9" s="8" t="n">
        <x:f>E9*F9</x:f>
        <x:v>93440844.44936709</x:v>
      </x:c>
      <x:c r="H9" s="10" t="n">
        <x:f>F9/SUMIF($C$2:$C$403,C9,$F$2:$F$403)</x:f>
        <x:v>0.3687408775431176</x:v>
      </x:c>
      <x:c r="I9" s="2" t="str">
        <x:v>https://statistik.arbeitsagentur.de/Statistikdaten/Detail/201512/iiia6/beschaeftigung-entgelt-entgelt/entgelt-d-0-201512-xlsm.xlsm?__blob=publicationFile&amp;v=2</x:v>
      </x:c>
      <x:c r="J9" s="2" t="str">
        <x:v>https://statistik.arbeitsagentur.de/Statistikdaten/Detail/201512/iiia6/beschaeftigung-sozbe-svb-kreise-merkmale/svb-kreise-merkmale-d-0-201512-xlsx.xlsx?__blob=publicationFile&amp;v=1</x:v>
      </x:c>
      <x:c r="K9" s="2" t="str">
        <x:v>https://www.bbsr.bund.de/BBSR/DE/forschung/raumbeobachtung/Raumabgrenzungen/deutschland/regionen/arbeitsmarktregionen/arbeitsmarktregionen-2017.csv?__blob=publicationFile&amp;v=2</x:v>
      </x:c>
    </x:row>
    <x:row r="10" ht="24" customHeight="1">
      <x:c r="A10" s="6" t="str">
        <x:v>01056</x:v>
      </x:c>
      <x:c r="B10" s="2" t="str">
        <x:v>Pinneberg</x:v>
      </x:c>
      <x:c r="C10" s="2" t="n">
        <x:v>8</x:v>
      </x:c>
      <x:c r="D10" s="2" t="str">
        <x:v>Hamburg</x:v>
      </x:c>
      <x:c r="E10" s="8" t="n">
        <x:v>2926.1558237145855</x:v>
      </x:c>
      <x:c r="F10" s="7" t="n">
        <x:v>62416</x:v>
      </x:c>
      <x:c r="G10" s="8" t="n">
        <x:f>E10*F10</x:f>
        <x:v>182638941.89296958</x:v>
      </x:c>
      <x:c r="H10" s="10" t="n">
        <x:f>F10/SUMIF($C$2:$C$403,C10,$F$2:$F$403)</x:f>
        <x:v>0.0688610499721427</x:v>
      </x:c>
      <x:c r="I10" s="2" t="str">
        <x:v>https://statistik.arbeitsagentur.de/Statistikdaten/Detail/201512/iiia6/beschaeftigung-entgelt-entgelt/entgelt-d-0-201512-xlsm.xlsm?__blob=publicationFile&amp;v=2</x:v>
      </x:c>
      <x:c r="J10" s="2" t="str">
        <x:v>https://statistik.arbeitsagentur.de/Statistikdaten/Detail/201512/iiia6/beschaeftigung-sozbe-svb-kreise-merkmale/svb-kreise-merkmale-d-0-201512-xlsx.xlsx?__blob=publicationFile&amp;v=1</x:v>
      </x:c>
      <x:c r="K10" s="2" t="str">
        <x:v>https://www.bbsr.bund.de/BBSR/DE/forschung/raumbeobachtung/Raumabgrenzungen/deutschland/regionen/arbeitsmarktregionen/arbeitsmarktregionen-2017.csv?__blob=publicationFile&amp;v=2</x:v>
      </x:c>
    </x:row>
    <x:row r="11" ht="24" customHeight="1">
      <x:c r="A11" s="6" t="str">
        <x:v>01057</x:v>
      </x:c>
      <x:c r="B11" s="2" t="str">
        <x:v>Plön</x:v>
      </x:c>
      <x:c r="C11" s="2" t="n">
        <x:v>6</x:v>
      </x:c>
      <x:c r="D11" s="2" t="str">
        <x:v>Kiel</x:v>
      </x:c>
      <x:c r="E11" s="8" t="n">
        <x:v>2649.1290322580644</x:v>
      </x:c>
      <x:c r="F11" s="7" t="n">
        <x:v>16596</x:v>
      </x:c>
      <x:c r="G11" s="8" t="n">
        <x:f>E11*F11</x:f>
        <x:v>43964945.41935483</x:v>
      </x:c>
      <x:c r="H11" s="10" t="n">
        <x:f>F11/SUMIF($C$2:$C$403,C11,$F$2:$F$403)</x:f>
        <x:v>0.09476875988602167</x:v>
      </x:c>
      <x:c r="I11" s="2" t="str">
        <x:v>https://statistik.arbeitsagentur.de/Statistikdaten/Detail/201512/iiia6/beschaeftigung-entgelt-entgelt/entgelt-d-0-201512-xlsm.xlsm?__blob=publicationFile&amp;v=2</x:v>
      </x:c>
      <x:c r="J11" s="2" t="str">
        <x:v>https://statistik.arbeitsagentur.de/Statistikdaten/Detail/201512/iiia6/beschaeftigung-sozbe-svb-kreise-merkmale/svb-kreise-merkmale-d-0-201512-xlsx.xlsx?__blob=publicationFile&amp;v=1</x:v>
      </x:c>
      <x:c r="K11" s="2" t="str">
        <x:v>https://www.bbsr.bund.de/BBSR/DE/forschung/raumbeobachtung/Raumabgrenzungen/deutschland/regionen/arbeitsmarktregionen/arbeitsmarktregionen-2017.csv?__blob=publicationFile&amp;v=2</x:v>
      </x:c>
    </x:row>
    <x:row r="12" ht="24" customHeight="1">
      <x:c r="A12" s="6" t="str">
        <x:v>01058</x:v>
      </x:c>
      <x:c r="B12" s="2" t="str">
        <x:v>Rendsburg-Eckernförde</x:v>
      </x:c>
      <x:c r="C12" s="2" t="n">
        <x:v>6</x:v>
      </x:c>
      <x:c r="D12" s="2" t="str">
        <x:v>Kiel</x:v>
      </x:c>
      <x:c r="E12" s="8" t="n">
        <x:v>2817.639334155364</x:v>
      </x:c>
      <x:c r="F12" s="7" t="n">
        <x:v>50954</x:v>
      </x:c>
      <x:c r="G12" s="8" t="n">
        <x:f>E12*F12</x:f>
        <x:v>143569994.63255242</x:v>
      </x:c>
      <x:c r="H12" s="10" t="n">
        <x:f>F12/SUMIF($C$2:$C$403,C12,$F$2:$F$403)</x:f>
        <x:v>0.2909645330942605</x:v>
      </x:c>
      <x:c r="I12" s="2" t="str">
        <x:v>https://statistik.arbeitsagentur.de/Statistikdaten/Detail/201512/iiia6/beschaeftigung-entgelt-entgelt/entgelt-d-0-201512-xlsm.xlsm?__blob=publicationFile&amp;v=2</x:v>
      </x:c>
      <x:c r="J12" s="2" t="str">
        <x:v>https://statistik.arbeitsagentur.de/Statistikdaten/Detail/201512/iiia6/beschaeftigung-sozbe-svb-kreise-merkmale/svb-kreise-merkmale-d-0-201512-xlsx.xlsx?__blob=publicationFile&amp;v=1</x:v>
      </x:c>
      <x:c r="K12" s="2" t="str">
        <x:v>https://www.bbsr.bund.de/BBSR/DE/forschung/raumbeobachtung/Raumabgrenzungen/deutschland/regionen/arbeitsmarktregionen/arbeitsmarktregionen-2017.csv?__blob=publicationFile&amp;v=2</x:v>
      </x:c>
    </x:row>
    <x:row r="13" ht="24" customHeight="1">
      <x:c r="A13" s="6" t="str">
        <x:v>01059</x:v>
      </x:c>
      <x:c r="B13" s="2" t="str">
        <x:v>Schleswig-Flensburg</x:v>
      </x:c>
      <x:c r="C13" s="2" t="n">
        <x:v>4</x:v>
      </x:c>
      <x:c r="D13" s="2" t="str">
        <x:v>Flensburg</x:v>
      </x:c>
      <x:c r="E13" s="8" t="n">
        <x:v>2602.0873015873017</x:v>
      </x:c>
      <x:c r="F13" s="7" t="n">
        <x:v>35833</x:v>
      </x:c>
      <x:c r="G13" s="8" t="n">
        <x:f>E13*F13</x:f>
        <x:v>93240594.27777778</x:v>
      </x:c>
      <x:c r="H13" s="10" t="n">
        <x:f>F13/SUMIF($C$2:$C$403,C13,$F$2:$F$403)</x:f>
        <x:v>0.5579986607907563</x:v>
      </x:c>
      <x:c r="I13" s="2" t="str">
        <x:v>https://statistik.arbeitsagentur.de/Statistikdaten/Detail/201512/iiia6/beschaeftigung-entgelt-entgelt/entgelt-d-0-201512-xlsm.xlsm?__blob=publicationFile&amp;v=2</x:v>
      </x:c>
      <x:c r="J13" s="2" t="str">
        <x:v>https://statistik.arbeitsagentur.de/Statistikdaten/Detail/201512/iiia6/beschaeftigung-sozbe-svb-kreise-merkmale/svb-kreise-merkmale-d-0-201512-xlsx.xlsx?__blob=publicationFile&amp;v=1</x:v>
      </x:c>
      <x:c r="K13" s="2" t="str">
        <x:v>https://www.bbsr.bund.de/BBSR/DE/forschung/raumbeobachtung/Raumabgrenzungen/deutschland/regionen/arbeitsmarktregionen/arbeitsmarktregionen-2017.csv?__blob=publicationFile&amp;v=2</x:v>
      </x:c>
    </x:row>
    <x:row r="14" ht="24" customHeight="1">
      <x:c r="A14" s="6" t="str">
        <x:v>01060</x:v>
      </x:c>
      <x:c r="B14" s="2" t="str">
        <x:v>Segeberg</x:v>
      </x:c>
      <x:c r="C14" s="2" t="n">
        <x:v>8</x:v>
      </x:c>
      <x:c r="D14" s="2" t="str">
        <x:v>Hamburg</x:v>
      </x:c>
      <x:c r="E14" s="8" t="n">
        <x:v>2901.807363927428</x:v>
      </x:c>
      <x:c r="F14" s="7" t="n">
        <x:v>63135</x:v>
      </x:c>
      <x:c r="G14" s="8" t="n">
        <x:f>E14*F14</x:f>
        <x:v>183205607.92155817</x:v>
      </x:c>
      <x:c r="H14" s="10" t="n">
        <x:f>F14/SUMIF($C$2:$C$403,C14,$F$2:$F$403)</x:f>
        <x:v>0.06965429361047214</x:v>
      </x:c>
      <x:c r="I14" s="2" t="str">
        <x:v>https://statistik.arbeitsagentur.de/Statistikdaten/Detail/201512/iiia6/beschaeftigung-entgelt-entgelt/entgelt-d-0-201512-xlsm.xlsm?__blob=publicationFile&amp;v=2</x:v>
      </x:c>
      <x:c r="J14" s="2" t="str">
        <x:v>https://statistik.arbeitsagentur.de/Statistikdaten/Detail/201512/iiia6/beschaeftigung-sozbe-svb-kreise-merkmale/svb-kreise-merkmale-d-0-201512-xlsx.xlsx?__blob=publicationFile&amp;v=1</x:v>
      </x:c>
      <x:c r="K14" s="2" t="str">
        <x:v>https://www.bbsr.bund.de/BBSR/DE/forschung/raumbeobachtung/Raumabgrenzungen/deutschland/regionen/arbeitsmarktregionen/arbeitsmarktregionen-2017.csv?__blob=publicationFile&amp;v=2</x:v>
      </x:c>
    </x:row>
    <x:row r="15" ht="24" customHeight="1">
      <x:c r="A15" s="6" t="str">
        <x:v>01061</x:v>
      </x:c>
      <x:c r="B15" s="2" t="str">
        <x:v>Steinburg</x:v>
      </x:c>
      <x:c r="C15" s="2" t="n">
        <x:v>3</x:v>
      </x:c>
      <x:c r="D15" s="2" t="str">
        <x:v>Itzehoe</x:v>
      </x:c>
      <x:c r="E15" s="8" t="n">
        <x:v>2873.5</x:v>
      </x:c>
      <x:c r="F15" s="7" t="n">
        <x:v>25900</x:v>
      </x:c>
      <x:c r="G15" s="8" t="n">
        <x:f>E15*F15</x:f>
        <x:v>74423650</x:v>
      </x:c>
      <x:c r="H15" s="10" t="n">
        <x:f>F15/SUMIF($C$2:$C$403,C15,$F$2:$F$403)</x:f>
        <x:v>1</x:v>
      </x:c>
      <x:c r="I15" s="2" t="str">
        <x:v>https://statistik.arbeitsagentur.de/Statistikdaten/Detail/201512/iiia6/beschaeftigung-entgelt-entgelt/entgelt-d-0-201512-xlsm.xlsm?__blob=publicationFile&amp;v=2</x:v>
      </x:c>
      <x:c r="J15" s="2" t="str">
        <x:v>https://statistik.arbeitsagentur.de/Statistikdaten/Detail/201512/iiia6/beschaeftigung-sozbe-svb-kreise-merkmale/svb-kreise-merkmale-d-0-201512-xlsx.xlsx?__blob=publicationFile&amp;v=1</x:v>
      </x:c>
      <x:c r="K15" s="2" t="str">
        <x:v>https://www.bbsr.bund.de/BBSR/DE/forschung/raumbeobachtung/Raumabgrenzungen/deutschland/regionen/arbeitsmarktregionen/arbeitsmarktregionen-2017.csv?__blob=publicationFile&amp;v=2</x:v>
      </x:c>
    </x:row>
    <x:row r="16" ht="24" customHeight="1">
      <x:c r="A16" s="6" t="str">
        <x:v>01062</x:v>
      </x:c>
      <x:c r="B16" s="2" t="str">
        <x:v>Stormarn</x:v>
      </x:c>
      <x:c r="C16" s="2" t="n">
        <x:v>8</x:v>
      </x:c>
      <x:c r="D16" s="2" t="str">
        <x:v>Hamburg</x:v>
      </x:c>
      <x:c r="E16" s="8" t="n">
        <x:v>2908.0055803571427</x:v>
      </x:c>
      <x:c r="F16" s="7" t="n">
        <x:v>59411</x:v>
      </x:c>
      <x:c r="G16" s="8" t="n">
        <x:f>E16*F16</x:f>
        <x:v>172767519.5345982</x:v>
      </x:c>
      <x:c r="H16" s="10" t="n">
        <x:f>F16/SUMIF($C$2:$C$403,C16,$F$2:$F$403)</x:f>
        <x:v>0.0655457549329494</x:v>
      </x:c>
      <x:c r="I16" s="2" t="str">
        <x:v>https://statistik.arbeitsagentur.de/Statistikdaten/Detail/201512/iiia6/beschaeftigung-entgelt-entgelt/entgelt-d-0-201512-xlsm.xlsm?__blob=publicationFile&amp;v=2</x:v>
      </x:c>
      <x:c r="J16" s="2" t="str">
        <x:v>https://statistik.arbeitsagentur.de/Statistikdaten/Detail/201512/iiia6/beschaeftigung-sozbe-svb-kreise-merkmale/svb-kreise-merkmale-d-0-201512-xlsx.xlsx?__blob=publicationFile&amp;v=1</x:v>
      </x:c>
      <x:c r="K16" s="2" t="str">
        <x:v>https://www.bbsr.bund.de/BBSR/DE/forschung/raumbeobachtung/Raumabgrenzungen/deutschland/regionen/arbeitsmarktregionen/arbeitsmarktregionen-2017.csv?__blob=publicationFile&amp;v=2</x:v>
      </x:c>
    </x:row>
    <x:row r="17" ht="24" customHeight="1">
      <x:c r="A17" s="6" t="str">
        <x:v>02000</x:v>
      </x:c>
      <x:c r="B17" s="2" t="str">
        <x:v>Hamburg, Freie und Hansestadt</x:v>
      </x:c>
      <x:c r="C17" s="2" t="n">
        <x:v>8</x:v>
      </x:c>
      <x:c r="D17" s="2" t="str">
        <x:v>Hamburg</x:v>
      </x:c>
      <x:c r="E17" s="8" t="n">
        <x:v>3487.033550858278</x:v>
      </x:c>
      <x:c r="F17" s="7" t="n">
        <x:v>681714</x:v>
      </x:c>
      <x:c r="G17" s="8" t="n">
        <x:f>E17*F17</x:f>
        <x:v>2377159590.0898</x:v>
      </x:c>
      <x:c r="H17" s="10" t="n">
        <x:f>F17/SUMIF($C$2:$C$403,C17,$F$2:$F$403)</x:f>
        <x:v>0.7521075016135171</x:v>
      </x:c>
      <x:c r="I17" s="2" t="str">
        <x:v>https://statistik.arbeitsagentur.de/Statistikdaten/Detail/201512/iiia6/beschaeftigung-entgelt-entgelt/entgelt-d-0-201512-xlsm.xlsm?__blob=publicationFile&amp;v=2</x:v>
      </x:c>
      <x:c r="J17" s="2" t="str">
        <x:v>https://statistik.arbeitsagentur.de/Statistikdaten/Detail/201512/iiia6/beschaeftigung-sozbe-svb-kreise-merkmale/svb-kreise-merkmale-d-0-201512-xlsx.xlsx?__blob=publicationFile&amp;v=1</x:v>
      </x:c>
      <x:c r="K17" s="2" t="str">
        <x:v>https://www.bbsr.bund.de/BBSR/DE/forschung/raumbeobachtung/Raumabgrenzungen/deutschland/regionen/arbeitsmarktregionen/arbeitsmarktregionen-2017.csv?__blob=publicationFile&amp;v=2</x:v>
      </x:c>
    </x:row>
    <x:row r="18" ht="24" customHeight="1">
      <x:c r="A18" s="6" t="str">
        <x:v>03101</x:v>
      </x:c>
      <x:c r="B18" s="2" t="str">
        <x:v>Braunschweig, Stadt</x:v>
      </x:c>
      <x:c r="C18" s="2" t="n">
        <x:v>9</x:v>
      </x:c>
      <x:c r="D18" s="2" t="str">
        <x:v>Braunschweig</x:v>
      </x:c>
      <x:c r="E18" s="8" t="n">
        <x:v>3307.7721962616824</x:v>
      </x:c>
      <x:c r="F18" s="7" t="n">
        <x:v>89943</x:v>
      </x:c>
      <x:c r="G18" s="8" t="n">
        <x:f>E18*F18</x:f>
        <x:v>297510954.6483645</x:v>
      </x:c>
      <x:c r="H18" s="10" t="n">
        <x:f>F18/SUMIF($C$2:$C$403,C18,$F$2:$F$403)</x:f>
        <x:v>0.7087706855791962</x:v>
      </x:c>
      <x:c r="I18" s="2" t="str">
        <x:v>https://statistik.arbeitsagentur.de/Statistikdaten/Detail/201512/iiia6/beschaeftigung-entgelt-entgelt/entgelt-d-0-201512-xlsm.xlsm?__blob=publicationFile&amp;v=2</x:v>
      </x:c>
      <x:c r="J18" s="2" t="str">
        <x:v>https://statistik.arbeitsagentur.de/Statistikdaten/Detail/201512/iiia6/beschaeftigung-sozbe-svb-kreise-merkmale/svb-kreise-merkmale-d-0-201512-xlsx.xlsx?__blob=publicationFile&amp;v=1</x:v>
      </x:c>
      <x:c r="K18" s="2" t="str">
        <x:v>https://www.bbsr.bund.de/BBSR/DE/forschung/raumbeobachtung/Raumabgrenzungen/deutschland/regionen/arbeitsmarktregionen/arbeitsmarktregionen-2017.csv?__blob=publicationFile&amp;v=2</x:v>
      </x:c>
    </x:row>
    <x:row r="19" ht="24" customHeight="1">
      <x:c r="A19" s="6" t="str">
        <x:v>03102</x:v>
      </x:c>
      <x:c r="B19" s="2" t="str">
        <x:v>Salzgitter, Stadt</x:v>
      </x:c>
      <x:c r="C19" s="2" t="n">
        <x:v>10</x:v>
      </x:c>
      <x:c r="D19" s="2" t="str">
        <x:v>Salzgitter</x:v>
      </x:c>
      <x:c r="E19" s="8" t="n">
        <x:v>3905.3660714285716</x:v>
      </x:c>
      <x:c r="F19" s="7" t="n">
        <x:v>38629</x:v>
      </x:c>
      <x:c r="G19" s="8" t="n">
        <x:f>E19*F19</x:f>
        <x:v>150860385.9732143</x:v>
      </x:c>
      <x:c r="H19" s="10" t="n">
        <x:f>F19/SUMIF($C$2:$C$403,C19,$F$2:$F$403)</x:f>
        <x:v>1</x:v>
      </x:c>
      <x:c r="I19" s="2" t="str">
        <x:v>https://statistik.arbeitsagentur.de/Statistikdaten/Detail/201512/iiia6/beschaeftigung-entgelt-entgelt/entgelt-d-0-201512-xlsm.xlsm?__blob=publicationFile&amp;v=2</x:v>
      </x:c>
      <x:c r="J19" s="2" t="str">
        <x:v>https://statistik.arbeitsagentur.de/Statistikdaten/Detail/201512/iiia6/beschaeftigung-sozbe-svb-kreise-merkmale/svb-kreise-merkmale-d-0-201512-xlsx.xlsx?__blob=publicationFile&amp;v=1</x:v>
      </x:c>
      <x:c r="K19" s="2" t="str">
        <x:v>https://www.bbsr.bund.de/BBSR/DE/forschung/raumbeobachtung/Raumabgrenzungen/deutschland/regionen/arbeitsmarktregionen/arbeitsmarktregionen-2017.csv?__blob=publicationFile&amp;v=2</x:v>
      </x:c>
    </x:row>
    <x:row r="20" ht="24" customHeight="1">
      <x:c r="A20" s="6" t="str">
        <x:v>03103</x:v>
      </x:c>
      <x:c r="B20" s="2" t="str">
        <x:v>Wolfsburg, Stadt</x:v>
      </x:c>
      <x:c r="C20" s="2" t="n">
        <x:v>11</x:v>
      </x:c>
      <x:c r="D20" s="2" t="str">
        <x:v>Wolfsburg</x:v>
      </x:c>
      <x:c r="E20" s="8" t="n">
        <x:v>4597.241032370954</x:v>
      </x:c>
      <x:c r="F20" s="7" t="n">
        <x:v>104342</x:v>
      </x:c>
      <x:c r="G20" s="8" t="n">
        <x:f>E20*F20</x:f>
        <x:v>479685323.7996501</x:v>
      </x:c>
      <x:c r="H20" s="10" t="n">
        <x:f>F20/SUMIF($C$2:$C$403,C20,$F$2:$F$403)</x:f>
        <x:v>0.7857196644527779</x:v>
      </x:c>
      <x:c r="I20" s="2" t="str">
        <x:v>https://statistik.arbeitsagentur.de/Statistikdaten/Detail/201512/iiia6/beschaeftigung-entgelt-entgelt/entgelt-d-0-201512-xlsm.xlsm?__blob=publicationFile&amp;v=2</x:v>
      </x:c>
      <x:c r="J20" s="2" t="str">
        <x:v>https://statistik.arbeitsagentur.de/Statistikdaten/Detail/201512/iiia6/beschaeftigung-sozbe-svb-kreise-merkmale/svb-kreise-merkmale-d-0-201512-xlsx.xlsx?__blob=publicationFile&amp;v=1</x:v>
      </x:c>
      <x:c r="K20" s="2" t="str">
        <x:v>https://www.bbsr.bund.de/BBSR/DE/forschung/raumbeobachtung/Raumabgrenzungen/deutschland/regionen/arbeitsmarktregionen/arbeitsmarktregionen-2017.csv?__blob=publicationFile&amp;v=2</x:v>
      </x:c>
    </x:row>
    <x:row r="21" ht="24" customHeight="1">
      <x:c r="A21" s="6" t="str">
        <x:v>03151</x:v>
      </x:c>
      <x:c r="B21" s="2" t="str">
        <x:v>Gifhorn</x:v>
      </x:c>
      <x:c r="C21" s="2" t="n">
        <x:v>11</x:v>
      </x:c>
      <x:c r="D21" s="2" t="str">
        <x:v>Wolfsburg</x:v>
      </x:c>
      <x:c r="E21" s="8" t="n">
        <x:v>2982.482543640898</x:v>
      </x:c>
      <x:c r="F21" s="7" t="n">
        <x:v>28456</x:v>
      </x:c>
      <x:c r="G21" s="8" t="n">
        <x:f>E21*F21</x:f>
        <x:v>84869523.2618454</x:v>
      </x:c>
      <x:c r="H21" s="10" t="n">
        <x:f>F21/SUMIF($C$2:$C$403,C21,$F$2:$F$403)</x:f>
        <x:v>0.2142803355472221</x:v>
      </x:c>
      <x:c r="I21" s="2" t="str">
        <x:v>https://statistik.arbeitsagentur.de/Statistikdaten/Detail/201512/iiia6/beschaeftigung-entgelt-entgelt/entgelt-d-0-201512-xlsm.xlsm?__blob=publicationFile&amp;v=2</x:v>
      </x:c>
      <x:c r="J21" s="2" t="str">
        <x:v>https://statistik.arbeitsagentur.de/Statistikdaten/Detail/201512/iiia6/beschaeftigung-sozbe-svb-kreise-merkmale/svb-kreise-merkmale-d-0-201512-xlsx.xlsx?__blob=publicationFile&amp;v=1</x:v>
      </x:c>
      <x:c r="K21" s="2" t="str">
        <x:v>https://www.bbsr.bund.de/BBSR/DE/forschung/raumbeobachtung/Raumabgrenzungen/deutschland/regionen/arbeitsmarktregionen/arbeitsmarktregionen-2017.csv?__blob=publicationFile&amp;v=2</x:v>
      </x:c>
    </x:row>
    <x:row r="22" ht="24" customHeight="1">
      <x:c r="A22" s="6" t="str">
        <x:v>03152</x:v>
      </x:c>
      <x:c r="B22" s="2" t="str">
        <x:v>Göttingen</x:v>
      </x:c>
      <x:c r="C22" s="2" t="n">
        <x:v>12</x:v>
      </x:c>
      <x:c r="D22" s="2" t="str">
        <x:v>Göttingen/Osterode</x:v>
      </x:c>
      <x:c r="E22" s="8" t="n">
        <x:v>3030.5354251012145</x:v>
      </x:c>
      <x:c r="F22" s="7" t="n">
        <x:v>66979</x:v>
      </x:c>
      <x:c r="G22" s="8" t="n">
        <x:f>E22*F22</x:f>
        <x:v>202982232.23785424</x:v>
      </x:c>
      <x:c r="H22" s="10" t="n">
        <x:f>F22/SUMIF($C$2:$C$403,C22,$F$2:$F$403)</x:f>
        <x:v>0.7813786908386705</x:v>
      </x:c>
      <x:c r="I22" s="2" t="str">
        <x:v>https://statistik.arbeitsagentur.de/Statistikdaten/Detail/201512/iiia6/beschaeftigung-entgelt-entgelt/entgelt-d-0-201512-xlsm.xlsm?__blob=publicationFile&amp;v=2</x:v>
      </x:c>
      <x:c r="J22" s="2" t="str">
        <x:v>https://statistik.arbeitsagentur.de/Statistikdaten/Detail/201512/iiia6/beschaeftigung-sozbe-svb-kreise-merkmale/svb-kreise-merkmale-d-0-201512-xlsx.xlsx?__blob=publicationFile&amp;v=1</x:v>
      </x:c>
      <x:c r="K22" s="2" t="str">
        <x:v>https://www.bbsr.bund.de/BBSR/DE/forschung/raumbeobachtung/Raumabgrenzungen/deutschland/regionen/arbeitsmarktregionen/arbeitsmarktregionen-2017.csv?__blob=publicationFile&amp;v=2</x:v>
      </x:c>
    </x:row>
    <x:row r="23" ht="24" customHeight="1">
      <x:c r="A23" s="6" t="str">
        <x:v>03153</x:v>
      </x:c>
      <x:c r="B23" s="2" t="str">
        <x:v>Goslar</x:v>
      </x:c>
      <x:c r="C23" s="2" t="n">
        <x:v>13</x:v>
      </x:c>
      <x:c r="D23" s="2" t="str">
        <x:v>Goslar</x:v>
      </x:c>
      <x:c r="E23" s="8" t="n">
        <x:v>2753.4605263157896</x:v>
      </x:c>
      <x:c r="F23" s="7" t="n">
        <x:v>30223</x:v>
      </x:c>
      <x:c r="G23" s="8" t="n">
        <x:f>E23*F23</x:f>
        <x:v>83217837.48684211</x:v>
      </x:c>
      <x:c r="H23" s="10" t="n">
        <x:f>F23/SUMIF($C$2:$C$403,C23,$F$2:$F$403)</x:f>
        <x:v>1</x:v>
      </x:c>
      <x:c r="I23" s="2" t="str">
        <x:v>https://statistik.arbeitsagentur.de/Statistikdaten/Detail/201512/iiia6/beschaeftigung-entgelt-entgelt/entgelt-d-0-201512-xlsm.xlsm?__blob=publicationFile&amp;v=2</x:v>
      </x:c>
      <x:c r="J23" s="2" t="str">
        <x:v>https://statistik.arbeitsagentur.de/Statistikdaten/Detail/201512/iiia6/beschaeftigung-sozbe-svb-kreise-merkmale/svb-kreise-merkmale-d-0-201512-xlsx.xlsx?__blob=publicationFile&amp;v=1</x:v>
      </x:c>
      <x:c r="K23" s="2" t="str">
        <x:v>https://www.bbsr.bund.de/BBSR/DE/forschung/raumbeobachtung/Raumabgrenzungen/deutschland/regionen/arbeitsmarktregionen/arbeitsmarktregionen-2017.csv?__blob=publicationFile&amp;v=2</x:v>
      </x:c>
    </x:row>
    <x:row r="24" ht="24" customHeight="1">
      <x:c r="A24" s="6" t="str">
        <x:v>03154</x:v>
      </x:c>
      <x:c r="B24" s="2" t="str">
        <x:v>Helmstedt</x:v>
      </x:c>
      <x:c r="C24" s="2" t="n">
        <x:v>14</x:v>
      </x:c>
      <x:c r="D24" s="2" t="str">
        <x:v>Helmstedt</x:v>
      </x:c>
      <x:c r="E24" s="8" t="n">
        <x:v>2598.7291666666665</x:v>
      </x:c>
      <x:c r="F24" s="7" t="n">
        <x:v>14721</x:v>
      </x:c>
      <x:c r="G24" s="8" t="n">
        <x:f>E24*F24</x:f>
        <x:v>38255892.0625</x:v>
      </x:c>
      <x:c r="H24" s="10" t="n">
        <x:f>F24/SUMIF($C$2:$C$403,C24,$F$2:$F$403)</x:f>
        <x:v>1</x:v>
      </x:c>
      <x:c r="I24" s="2" t="str">
        <x:v>https://statistik.arbeitsagentur.de/Statistikdaten/Detail/201512/iiia6/beschaeftigung-entgelt-entgelt/entgelt-d-0-201512-xlsm.xlsm?__blob=publicationFile&amp;v=2</x:v>
      </x:c>
      <x:c r="J24" s="2" t="str">
        <x:v>https://statistik.arbeitsagentur.de/Statistikdaten/Detail/201512/iiia6/beschaeftigung-sozbe-svb-kreise-merkmale/svb-kreise-merkmale-d-0-201512-xlsx.xlsx?__blob=publicationFile&amp;v=1</x:v>
      </x:c>
      <x:c r="K24" s="2" t="str">
        <x:v>https://www.bbsr.bund.de/BBSR/DE/forschung/raumbeobachtung/Raumabgrenzungen/deutschland/regionen/arbeitsmarktregionen/arbeitsmarktregionen-2017.csv?__blob=publicationFile&amp;v=2</x:v>
      </x:c>
    </x:row>
    <x:row r="25" ht="24" customHeight="1">
      <x:c r="A25" s="6" t="str">
        <x:v>03155</x:v>
      </x:c>
      <x:c r="B25" s="2" t="str">
        <x:v>Northeim</x:v>
      </x:c>
      <x:c r="C25" s="2" t="n">
        <x:v>15</x:v>
      </x:c>
      <x:c r="D25" s="2" t="str">
        <x:v>Einbeck</x:v>
      </x:c>
      <x:c r="E25" s="8" t="n">
        <x:v>2819.40625</x:v>
      </x:c>
      <x:c r="F25" s="7" t="n">
        <x:v>30604</x:v>
      </x:c>
      <x:c r="G25" s="8" t="n">
        <x:f>E25*F25</x:f>
        <x:v>86285108.875</x:v>
      </x:c>
      <x:c r="H25" s="10" t="n">
        <x:f>F25/SUMIF($C$2:$C$403,C25,$F$2:$F$403)</x:f>
        <x:v>1</x:v>
      </x:c>
      <x:c r="I25" s="2" t="str">
        <x:v>https://statistik.arbeitsagentur.de/Statistikdaten/Detail/201512/iiia6/beschaeftigung-entgelt-entgelt/entgelt-d-0-201512-xlsm.xlsm?__blob=publicationFile&amp;v=2</x:v>
      </x:c>
      <x:c r="J25" s="2" t="str">
        <x:v>https://statistik.arbeitsagentur.de/Statistikdaten/Detail/201512/iiia6/beschaeftigung-sozbe-svb-kreise-merkmale/svb-kreise-merkmale-d-0-201512-xlsx.xlsx?__blob=publicationFile&amp;v=1</x:v>
      </x:c>
      <x:c r="K25" s="2" t="str">
        <x:v>https://www.bbsr.bund.de/BBSR/DE/forschung/raumbeobachtung/Raumabgrenzungen/deutschland/regionen/arbeitsmarktregionen/arbeitsmarktregionen-2017.csv?__blob=publicationFile&amp;v=2</x:v>
      </x:c>
    </x:row>
    <x:row r="26" ht="24" customHeight="1">
      <x:c r="A26" s="6" t="str">
        <x:v>03156</x:v>
      </x:c>
      <x:c r="B26" s="2" t="str">
        <x:v>Osterode am Harz</x:v>
      </x:c>
      <x:c r="C26" s="2" t="n">
        <x:v>12</x:v>
      </x:c>
      <x:c r="D26" s="2" t="str">
        <x:v>Göttingen/Osterode</x:v>
      </x:c>
      <x:c r="E26" s="8" t="n">
        <x:v>2826.675213675214</x:v>
      </x:c>
      <x:c r="F26" s="7" t="n">
        <x:v>18740</x:v>
      </x:c>
      <x:c r="G26" s="8" t="n">
        <x:f>E26*F26</x:f>
        <x:v>52971893.504273504</x:v>
      </x:c>
      <x:c r="H26" s="10" t="n">
        <x:f>F26/SUMIF($C$2:$C$403,C26,$F$2:$F$403)</x:f>
        <x:v>0.21862130916132946</x:v>
      </x:c>
      <x:c r="I26" s="2" t="str">
        <x:v>https://statistik.arbeitsagentur.de/Statistikdaten/Detail/201512/iiia6/beschaeftigung-entgelt-entgelt/entgelt-d-0-201512-xlsm.xlsm?__blob=publicationFile&amp;v=2</x:v>
      </x:c>
      <x:c r="J26" s="2" t="str">
        <x:v>https://statistik.arbeitsagentur.de/Statistikdaten/Detail/201512/iiia6/beschaeftigung-sozbe-svb-kreise-merkmale/svb-kreise-merkmale-d-0-201512-xlsx.xlsx?__blob=publicationFile&amp;v=1</x:v>
      </x:c>
      <x:c r="K26" s="2" t="str">
        <x:v>https://www.bbsr.bund.de/BBSR/DE/forschung/raumbeobachtung/Raumabgrenzungen/deutschland/regionen/arbeitsmarktregionen/arbeitsmarktregionen-2017.csv?__blob=publicationFile&amp;v=2</x:v>
      </x:c>
    </x:row>
    <x:row r="27" ht="24" customHeight="1">
      <x:c r="A27" s="6" t="str">
        <x:v>03157</x:v>
      </x:c>
      <x:c r="B27" s="2" t="str">
        <x:v>Peine</x:v>
      </x:c>
      <x:c r="C27" s="2" t="n">
        <x:v>9</x:v>
      </x:c>
      <x:c r="D27" s="2" t="str">
        <x:v>Braunschweig</x:v>
      </x:c>
      <x:c r="E27" s="8" t="n">
        <x:v>2851.257575757576</x:v>
      </x:c>
      <x:c r="F27" s="7" t="n">
        <x:v>21468</x:v>
      </x:c>
      <x:c r="G27" s="8" t="n">
        <x:f>E27*F27</x:f>
        <x:v>61210797.63636364</x:v>
      </x:c>
      <x:c r="H27" s="10" t="n">
        <x:f>F27/SUMIF($C$2:$C$403,C27,$F$2:$F$403)</x:f>
        <x:v>0.1691725768321513</x:v>
      </x:c>
      <x:c r="I27" s="2" t="str">
        <x:v>https://statistik.arbeitsagentur.de/Statistikdaten/Detail/201512/iiia6/beschaeftigung-entgelt-entgelt/entgelt-d-0-201512-xlsm.xlsm?__blob=publicationFile&amp;v=2</x:v>
      </x:c>
      <x:c r="J27" s="2" t="str">
        <x:v>https://statistik.arbeitsagentur.de/Statistikdaten/Detail/201512/iiia6/beschaeftigung-sozbe-svb-kreise-merkmale/svb-kreise-merkmale-d-0-201512-xlsx.xlsx?__blob=publicationFile&amp;v=1</x:v>
      </x:c>
      <x:c r="K27" s="2" t="str">
        <x:v>https://www.bbsr.bund.de/BBSR/DE/forschung/raumbeobachtung/Raumabgrenzungen/deutschland/regionen/arbeitsmarktregionen/arbeitsmarktregionen-2017.csv?__blob=publicationFile&amp;v=2</x:v>
      </x:c>
    </x:row>
    <x:row r="28" ht="24" customHeight="1">
      <x:c r="A28" s="6" t="str">
        <x:v>03158</x:v>
      </x:c>
      <x:c r="B28" s="2" t="str">
        <x:v>Wolfenbüttel</x:v>
      </x:c>
      <x:c r="C28" s="2" t="n">
        <x:v>9</x:v>
      </x:c>
      <x:c r="D28" s="2" t="str">
        <x:v>Braunschweig</x:v>
      </x:c>
      <x:c r="E28" s="8" t="n">
        <x:v>2838.4310344827586</x:v>
      </x:c>
      <x:c r="F28" s="7" t="n">
        <x:v>15489</x:v>
      </x:c>
      <x:c r="G28" s="8" t="n">
        <x:f>E28*F28</x:f>
        <x:v>43964458.29310345</x:v>
      </x:c>
      <x:c r="H28" s="10" t="n">
        <x:f>F28/SUMIF($C$2:$C$403,C28,$F$2:$F$403)</x:f>
        <x:v>0.12205673758865249</x:v>
      </x:c>
      <x:c r="I28" s="2" t="str">
        <x:v>https://statistik.arbeitsagentur.de/Statistikdaten/Detail/201512/iiia6/beschaeftigung-entgelt-entgelt/entgelt-d-0-201512-xlsm.xlsm?__blob=publicationFile&amp;v=2</x:v>
      </x:c>
      <x:c r="J28" s="2" t="str">
        <x:v>https://statistik.arbeitsagentur.de/Statistikdaten/Detail/201512/iiia6/beschaeftigung-sozbe-svb-kreise-merkmale/svb-kreise-merkmale-d-0-201512-xlsx.xlsx?__blob=publicationFile&amp;v=1</x:v>
      </x:c>
      <x:c r="K28" s="2" t="str">
        <x:v>https://www.bbsr.bund.de/BBSR/DE/forschung/raumbeobachtung/Raumabgrenzungen/deutschland/regionen/arbeitsmarktregionen/arbeitsmarktregionen-2017.csv?__blob=publicationFile&amp;v=2</x:v>
      </x:c>
    </x:row>
    <x:row r="29" ht="24" customHeight="1">
      <x:c r="A29" s="6" t="str">
        <x:v>03241</x:v>
      </x:c>
      <x:c r="B29" s="2" t="str">
        <x:v>Region Hannover</x:v>
      </x:c>
      <x:c r="C29" s="2" t="n">
        <x:v>17</x:v>
      </x:c>
      <x:c r="D29" s="2" t="str">
        <x:v>Hannover</x:v>
      </x:c>
      <x:c r="E29" s="8" t="n">
        <x:v>3252.5064833445117</x:v>
      </x:c>
      <x:c r="F29" s="7" t="n">
        <x:v>353788</x:v>
      </x:c>
      <x:c r="G29" s="8" t="n">
        <x:f>E29*F29</x:f>
        <x:v>1150697763.7294881</x:v>
      </x:c>
      <x:c r="H29" s="10" t="n">
        <x:f>F29/SUMIF($C$2:$C$403,C29,$F$2:$F$403)</x:f>
        <x:v>1</x:v>
      </x:c>
      <x:c r="I29" s="2" t="str">
        <x:v>https://statistik.arbeitsagentur.de/Statistikdaten/Detail/201512/iiia6/beschaeftigung-entgelt-entgelt/entgelt-d-0-201512-xlsm.xlsm?__blob=publicationFile&amp;v=2</x:v>
      </x:c>
      <x:c r="J29" s="2" t="str">
        <x:v>https://statistik.arbeitsagentur.de/Statistikdaten/Detail/201512/iiia6/beschaeftigung-sozbe-svb-kreise-merkmale/svb-kreise-merkmale-d-0-201512-xlsx.xlsx?__blob=publicationFile&amp;v=1</x:v>
      </x:c>
      <x:c r="K29" s="2" t="str">
        <x:v>https://www.bbsr.bund.de/BBSR/DE/forschung/raumbeobachtung/Raumabgrenzungen/deutschland/regionen/arbeitsmarktregionen/arbeitsmarktregionen-2017.csv?__blob=publicationFile&amp;v=2</x:v>
      </x:c>
    </x:row>
    <x:row r="30" ht="24" customHeight="1">
      <x:c r="A30" s="6" t="str">
        <x:v>03251</x:v>
      </x:c>
      <x:c r="B30" s="2" t="str">
        <x:v>Diepholz</x:v>
      </x:c>
      <x:c r="C30" s="2" t="n">
        <x:v>18</x:v>
      </x:c>
      <x:c r="D30" s="2" t="str">
        <x:v>Sulingen</x:v>
      </x:c>
      <x:c r="E30" s="8" t="n">
        <x:v>2720.9683698296835</x:v>
      </x:c>
      <x:c r="F30" s="7" t="n">
        <x:v>46838</x:v>
      </x:c>
      <x:c r="G30" s="8" t="n">
        <x:f>E30*F30</x:f>
        <x:v>127444716.50608271</x:v>
      </x:c>
      <x:c r="H30" s="10" t="n">
        <x:f>F30/SUMIF($C$2:$C$403,C30,$F$2:$F$403)</x:f>
        <x:v>1</x:v>
      </x:c>
      <x:c r="I30" s="2" t="str">
        <x:v>https://statistik.arbeitsagentur.de/Statistikdaten/Detail/201512/iiia6/beschaeftigung-entgelt-entgelt/entgelt-d-0-201512-xlsm.xlsm?__blob=publicationFile&amp;v=2</x:v>
      </x:c>
      <x:c r="J30" s="2" t="str">
        <x:v>https://statistik.arbeitsagentur.de/Statistikdaten/Detail/201512/iiia6/beschaeftigung-sozbe-svb-kreise-merkmale/svb-kreise-merkmale-d-0-201512-xlsx.xlsx?__blob=publicationFile&amp;v=1</x:v>
      </x:c>
      <x:c r="K30" s="2" t="str">
        <x:v>https://www.bbsr.bund.de/BBSR/DE/forschung/raumbeobachtung/Raumabgrenzungen/deutschland/regionen/arbeitsmarktregionen/arbeitsmarktregionen-2017.csv?__blob=publicationFile&amp;v=2</x:v>
      </x:c>
    </x:row>
    <x:row r="31" ht="24" customHeight="1">
      <x:c r="A31" s="6" t="str">
        <x:v>03252</x:v>
      </x:c>
      <x:c r="B31" s="2" t="str">
        <x:v>Hameln-Pyrmont</x:v>
      </x:c>
      <x:c r="C31" s="2" t="n">
        <x:v>19</x:v>
      </x:c>
      <x:c r="D31" s="2" t="str">
        <x:v>Hameln</x:v>
      </x:c>
      <x:c r="E31" s="8" t="n">
        <x:v>3025.597087378641</x:v>
      </x:c>
      <x:c r="F31" s="7" t="n">
        <x:v>34764</x:v>
      </x:c>
      <x:c r="G31" s="8" t="n">
        <x:f>E31*F31</x:f>
        <x:v>105181857.14563107</x:v>
      </x:c>
      <x:c r="H31" s="10" t="n">
        <x:f>F31/SUMIF($C$2:$C$403,C31,$F$2:$F$403)</x:f>
        <x:v>1</x:v>
      </x:c>
      <x:c r="I31" s="2" t="str">
        <x:v>https://statistik.arbeitsagentur.de/Statistikdaten/Detail/201512/iiia6/beschaeftigung-entgelt-entgelt/entgelt-d-0-201512-xlsm.xlsm?__blob=publicationFile&amp;v=2</x:v>
      </x:c>
      <x:c r="J31" s="2" t="str">
        <x:v>https://statistik.arbeitsagentur.de/Statistikdaten/Detail/201512/iiia6/beschaeftigung-sozbe-svb-kreise-merkmale/svb-kreise-merkmale-d-0-201512-xlsx.xlsx?__blob=publicationFile&amp;v=1</x:v>
      </x:c>
      <x:c r="K31" s="2" t="str">
        <x:v>https://www.bbsr.bund.de/BBSR/DE/forschung/raumbeobachtung/Raumabgrenzungen/deutschland/regionen/arbeitsmarktregionen/arbeitsmarktregionen-2017.csv?__blob=publicationFile&amp;v=2</x:v>
      </x:c>
    </x:row>
    <x:row r="32" ht="24" customHeight="1">
      <x:c r="A32" s="6" t="str">
        <x:v>03254</x:v>
      </x:c>
      <x:c r="B32" s="2" t="str">
        <x:v>Hildesheim</x:v>
      </x:c>
      <x:c r="C32" s="2" t="n">
        <x:v>20</x:v>
      </x:c>
      <x:c r="D32" s="2" t="str">
        <x:v>Hildesheim</x:v>
      </x:c>
      <x:c r="E32" s="8" t="n">
        <x:v>2945.417257683215</x:v>
      </x:c>
      <x:c r="F32" s="7" t="n">
        <x:v>61809</x:v>
      </x:c>
      <x:c r="G32" s="8" t="n">
        <x:f>E32*F32</x:f>
        <x:v>182053295.28014186</x:v>
      </x:c>
      <x:c r="H32" s="10" t="n">
        <x:f>F32/SUMIF($C$2:$C$403,C32,$F$2:$F$403)</x:f>
        <x:v>1</x:v>
      </x:c>
      <x:c r="I32" s="2" t="str">
        <x:v>https://statistik.arbeitsagentur.de/Statistikdaten/Detail/201512/iiia6/beschaeftigung-entgelt-entgelt/entgelt-d-0-201512-xlsm.xlsm?__blob=publicationFile&amp;v=2</x:v>
      </x:c>
      <x:c r="J32" s="2" t="str">
        <x:v>https://statistik.arbeitsagentur.de/Statistikdaten/Detail/201512/iiia6/beschaeftigung-sozbe-svb-kreise-merkmale/svb-kreise-merkmale-d-0-201512-xlsx.xlsx?__blob=publicationFile&amp;v=1</x:v>
      </x:c>
      <x:c r="K32" s="2" t="str">
        <x:v>https://www.bbsr.bund.de/BBSR/DE/forschung/raumbeobachtung/Raumabgrenzungen/deutschland/regionen/arbeitsmarktregionen/arbeitsmarktregionen-2017.csv?__blob=publicationFile&amp;v=2</x:v>
      </x:c>
    </x:row>
    <x:row r="33" ht="24" customHeight="1">
      <x:c r="A33" s="6" t="str">
        <x:v>03255</x:v>
      </x:c>
      <x:c r="B33" s="2" t="str">
        <x:v>Holzminden</x:v>
      </x:c>
      <x:c r="C33" s="2" t="n">
        <x:v>21</x:v>
      </x:c>
      <x:c r="D33" s="2" t="str">
        <x:v>Holzminden</x:v>
      </x:c>
      <x:c r="E33" s="8" t="n">
        <x:v>2996.6743772241994</x:v>
      </x:c>
      <x:c r="F33" s="7" t="n">
        <x:v>15316</x:v>
      </x:c>
      <x:c r="G33" s="8" t="n">
        <x:f>E33*F33</x:f>
        <x:v>45897064.761565834</x:v>
      </x:c>
      <x:c r="H33" s="10" t="n">
        <x:f>F33/SUMIF($C$2:$C$403,C33,$F$2:$F$403)</x:f>
        <x:v>1</x:v>
      </x:c>
      <x:c r="I33" s="2" t="str">
        <x:v>https://statistik.arbeitsagentur.de/Statistikdaten/Detail/201512/iiia6/beschaeftigung-entgelt-entgelt/entgelt-d-0-201512-xlsm.xlsm?__blob=publicationFile&amp;v=2</x:v>
      </x:c>
      <x:c r="J33" s="2" t="str">
        <x:v>https://statistik.arbeitsagentur.de/Statistikdaten/Detail/201512/iiia6/beschaeftigung-sozbe-svb-kreise-merkmale/svb-kreise-merkmale-d-0-201512-xlsx.xlsx?__blob=publicationFile&amp;v=1</x:v>
      </x:c>
      <x:c r="K33" s="2" t="str">
        <x:v>https://www.bbsr.bund.de/BBSR/DE/forschung/raumbeobachtung/Raumabgrenzungen/deutschland/regionen/arbeitsmarktregionen/arbeitsmarktregionen-2017.csv?__blob=publicationFile&amp;v=2</x:v>
      </x:c>
    </x:row>
    <x:row r="34" ht="24" customHeight="1">
      <x:c r="A34" s="6" t="str">
        <x:v>03256</x:v>
      </x:c>
      <x:c r="B34" s="2" t="str">
        <x:v>Nienburg (Weser)</x:v>
      </x:c>
      <x:c r="C34" s="2" t="n">
        <x:v>22</x:v>
      </x:c>
      <x:c r="D34" s="2" t="str">
        <x:v>Nienburg</x:v>
      </x:c>
      <x:c r="E34" s="8" t="n">
        <x:v>2738.62375249501</x:v>
      </x:c>
      <x:c r="F34" s="7" t="n">
        <x:v>26650</x:v>
      </x:c>
      <x:c r="G34" s="8" t="n">
        <x:f>E34*F34</x:f>
        <x:v>72984323.00399202</x:v>
      </x:c>
      <x:c r="H34" s="10" t="n">
        <x:f>F34/SUMIF($C$2:$C$403,C34,$F$2:$F$403)</x:f>
        <x:v>1</x:v>
      </x:c>
      <x:c r="I34" s="2" t="str">
        <x:v>https://statistik.arbeitsagentur.de/Statistikdaten/Detail/201512/iiia6/beschaeftigung-entgelt-entgelt/entgelt-d-0-201512-xlsm.xlsm?__blob=publicationFile&amp;v=2</x:v>
      </x:c>
      <x:c r="J34" s="2" t="str">
        <x:v>https://statistik.arbeitsagentur.de/Statistikdaten/Detail/201512/iiia6/beschaeftigung-sozbe-svb-kreise-merkmale/svb-kreise-merkmale-d-0-201512-xlsx.xlsx?__blob=publicationFile&amp;v=1</x:v>
      </x:c>
      <x:c r="K34" s="2" t="str">
        <x:v>https://www.bbsr.bund.de/BBSR/DE/forschung/raumbeobachtung/Raumabgrenzungen/deutschland/regionen/arbeitsmarktregionen/arbeitsmarktregionen-2017.csv?__blob=publicationFile&amp;v=2</x:v>
      </x:c>
    </x:row>
    <x:row r="35" ht="24" customHeight="1">
      <x:c r="A35" s="6" t="str">
        <x:v>03257</x:v>
      </x:c>
      <x:c r="B35" s="2" t="str">
        <x:v>Schaumburg</x:v>
      </x:c>
      <x:c r="C35" s="2" t="n">
        <x:v>23</x:v>
      </x:c>
      <x:c r="D35" s="2" t="str">
        <x:v>Stadthagen</x:v>
      </x:c>
      <x:c r="E35" s="8" t="n">
        <x:v>2792.6171171171172</x:v>
      </x:c>
      <x:c r="F35" s="7" t="n">
        <x:v>29774</x:v>
      </x:c>
      <x:c r="G35" s="8" t="n">
        <x:f>E35*F35</x:f>
        <x:v>83147382.04504505</x:v>
      </x:c>
      <x:c r="H35" s="10" t="n">
        <x:f>F35/SUMIF($C$2:$C$403,C35,$F$2:$F$403)</x:f>
        <x:v>1</x:v>
      </x:c>
      <x:c r="I35" s="2" t="str">
        <x:v>https://statistik.arbeitsagentur.de/Statistikdaten/Detail/201512/iiia6/beschaeftigung-entgelt-entgelt/entgelt-d-0-201512-xlsm.xlsm?__blob=publicationFile&amp;v=2</x:v>
      </x:c>
      <x:c r="J35" s="2" t="str">
        <x:v>https://statistik.arbeitsagentur.de/Statistikdaten/Detail/201512/iiia6/beschaeftigung-sozbe-svb-kreise-merkmale/svb-kreise-merkmale-d-0-201512-xlsx.xlsx?__blob=publicationFile&amp;v=1</x:v>
      </x:c>
      <x:c r="K35" s="2" t="str">
        <x:v>https://www.bbsr.bund.de/BBSR/DE/forschung/raumbeobachtung/Raumabgrenzungen/deutschland/regionen/arbeitsmarktregionen/arbeitsmarktregionen-2017.csv?__blob=publicationFile&amp;v=2</x:v>
      </x:c>
    </x:row>
    <x:row r="36" ht="24" customHeight="1">
      <x:c r="A36" s="6" t="str">
        <x:v>03351</x:v>
      </x:c>
      <x:c r="B36" s="2" t="str">
        <x:v>Celle</x:v>
      </x:c>
      <x:c r="C36" s="2" t="n">
        <x:v>24</x:v>
      </x:c>
      <x:c r="D36" s="2" t="str">
        <x:v>Celle</x:v>
      </x:c>
      <x:c r="E36" s="8" t="n">
        <x:v>3027.3203883495144</x:v>
      </x:c>
      <x:c r="F36" s="7" t="n">
        <x:v>39589</x:v>
      </x:c>
      <x:c r="G36" s="8" t="n">
        <x:f>E36*F36</x:f>
        <x:v>119848586.85436893</x:v>
      </x:c>
      <x:c r="H36" s="10" t="n">
        <x:f>F36/SUMIF($C$2:$C$403,C36,$F$2:$F$403)</x:f>
        <x:v>1</x:v>
      </x:c>
      <x:c r="I36" s="2" t="str">
        <x:v>https://statistik.arbeitsagentur.de/Statistikdaten/Detail/201512/iiia6/beschaeftigung-entgelt-entgelt/entgelt-d-0-201512-xlsm.xlsm?__blob=publicationFile&amp;v=2</x:v>
      </x:c>
      <x:c r="J36" s="2" t="str">
        <x:v>https://statistik.arbeitsagentur.de/Statistikdaten/Detail/201512/iiia6/beschaeftigung-sozbe-svb-kreise-merkmale/svb-kreise-merkmale-d-0-201512-xlsx.xlsx?__blob=publicationFile&amp;v=1</x:v>
      </x:c>
      <x:c r="K36" s="2" t="str">
        <x:v>https://www.bbsr.bund.de/BBSR/DE/forschung/raumbeobachtung/Raumabgrenzungen/deutschland/regionen/arbeitsmarktregionen/arbeitsmarktregionen-2017.csv?__blob=publicationFile&amp;v=2</x:v>
      </x:c>
    </x:row>
    <x:row r="37" ht="24" customHeight="1">
      <x:c r="A37" s="6" t="str">
        <x:v>03352</x:v>
      </x:c>
      <x:c r="B37" s="2" t="str">
        <x:v>Cuxhaven</x:v>
      </x:c>
      <x:c r="C37" s="2" t="n">
        <x:v>43</x:v>
      </x:c>
      <x:c r="D37" s="2" t="str">
        <x:v>Bremerhaven</x:v>
      </x:c>
      <x:c r="E37" s="8" t="n">
        <x:v>2691.2127429805614</x:v>
      </x:c>
      <x:c r="F37" s="7" t="n">
        <x:v>29448</x:v>
      </x:c>
      <x:c r="G37" s="8" t="n">
        <x:f>E37*F37</x:f>
        <x:v>79250832.85529158</x:v>
      </x:c>
      <x:c r="H37" s="10" t="n">
        <x:f>F37/SUMIF($C$2:$C$403,C37,$F$2:$F$403)</x:f>
        <x:v>0.4358405114998668</x:v>
      </x:c>
      <x:c r="I37" s="2" t="str">
        <x:v>https://statistik.arbeitsagentur.de/Statistikdaten/Detail/201512/iiia6/beschaeftigung-entgelt-entgelt/entgelt-d-0-201512-xlsm.xlsm?__blob=publicationFile&amp;v=2</x:v>
      </x:c>
      <x:c r="J37" s="2" t="str">
        <x:v>https://statistik.arbeitsagentur.de/Statistikdaten/Detail/201512/iiia6/beschaeftigung-sozbe-svb-kreise-merkmale/svb-kreise-merkmale-d-0-201512-xlsx.xlsx?__blob=publicationFile&amp;v=1</x:v>
      </x:c>
      <x:c r="K37" s="2" t="str">
        <x:v>https://www.bbsr.bund.de/BBSR/DE/forschung/raumbeobachtung/Raumabgrenzungen/deutschland/regionen/arbeitsmarktregionen/arbeitsmarktregionen-2017.csv?__blob=publicationFile&amp;v=2</x:v>
      </x:c>
    </x:row>
    <x:row r="38" ht="24" customHeight="1">
      <x:c r="A38" s="6" t="str">
        <x:v>03353</x:v>
      </x:c>
      <x:c r="B38" s="2" t="str">
        <x:v>Harburg</x:v>
      </x:c>
      <x:c r="C38" s="2" t="n">
        <x:v>8</x:v>
      </x:c>
      <x:c r="D38" s="2" t="str">
        <x:v>Hamburg</x:v>
      </x:c>
      <x:c r="E38" s="8" t="n">
        <x:v>2666.125</x:v>
      </x:c>
      <x:c r="F38" s="7" t="n">
        <x:v>39729</x:v>
      </x:c>
      <x:c r="G38" s="8" t="n">
        <x:f>E38*F38</x:f>
        <x:v>105922480.125</x:v>
      </x:c>
      <x:c r="H38" s="10" t="n">
        <x:f>F38/SUMIF($C$2:$C$403,C38,$F$2:$F$403)</x:f>
        <x:v>0.04383139987091863</x:v>
      </x:c>
      <x:c r="I38" s="2" t="str">
        <x:v>https://statistik.arbeitsagentur.de/Statistikdaten/Detail/201512/iiia6/beschaeftigung-entgelt-entgelt/entgelt-d-0-201512-xlsm.xlsm?__blob=publicationFile&amp;v=2</x:v>
      </x:c>
      <x:c r="J38" s="2" t="str">
        <x:v>https://statistik.arbeitsagentur.de/Statistikdaten/Detail/201512/iiia6/beschaeftigung-sozbe-svb-kreise-merkmale/svb-kreise-merkmale-d-0-201512-xlsx.xlsx?__blob=publicationFile&amp;v=1</x:v>
      </x:c>
      <x:c r="K38" s="2" t="str">
        <x:v>https://www.bbsr.bund.de/BBSR/DE/forschung/raumbeobachtung/Raumabgrenzungen/deutschland/regionen/arbeitsmarktregionen/arbeitsmarktregionen-2017.csv?__blob=publicationFile&amp;v=2</x:v>
      </x:c>
    </x:row>
    <x:row r="39" ht="24" customHeight="1">
      <x:c r="A39" s="6" t="str">
        <x:v>03354</x:v>
      </x:c>
      <x:c r="B39" s="2" t="str">
        <x:v>Lüchow-Dannenberg</x:v>
      </x:c>
      <x:c r="C39" s="2" t="n">
        <x:v>29</x:v>
      </x:c>
      <x:c r="D39" s="2" t="str">
        <x:v>Uelzen</x:v>
      </x:c>
      <x:c r="E39" s="8" t="n">
        <x:v>2548.6203007518798</x:v>
      </x:c>
      <x:c r="F39" s="7" t="n">
        <x:v>8535</x:v>
      </x:c>
      <x:c r="G39" s="8" t="n">
        <x:f>E39*F39</x:f>
        <x:v>21752474.266917292</x:v>
      </x:c>
      <x:c r="H39" s="10" t="n">
        <x:f>F39/SUMIF($C$2:$C$403,C39,$F$2:$F$403)</x:f>
        <x:v>0.30235935950120446</x:v>
      </x:c>
      <x:c r="I39" s="2" t="str">
        <x:v>https://statistik.arbeitsagentur.de/Statistikdaten/Detail/201512/iiia6/beschaeftigung-entgelt-entgelt/entgelt-d-0-201512-xlsm.xlsm?__blob=publicationFile&amp;v=2</x:v>
      </x:c>
      <x:c r="J39" s="2" t="str">
        <x:v>https://statistik.arbeitsagentur.de/Statistikdaten/Detail/201512/iiia6/beschaeftigung-sozbe-svb-kreise-merkmale/svb-kreise-merkmale-d-0-201512-xlsx.xlsx?__blob=publicationFile&amp;v=1</x:v>
      </x:c>
      <x:c r="K39" s="2" t="str">
        <x:v>https://www.bbsr.bund.de/BBSR/DE/forschung/raumbeobachtung/Raumabgrenzungen/deutschland/regionen/arbeitsmarktregionen/arbeitsmarktregionen-2017.csv?__blob=publicationFile&amp;v=2</x:v>
      </x:c>
    </x:row>
    <x:row r="40" ht="24" customHeight="1">
      <x:c r="A40" s="6" t="str">
        <x:v>03355</x:v>
      </x:c>
      <x:c r="B40" s="2" t="str">
        <x:v>Lüneburg</x:v>
      </x:c>
      <x:c r="C40" s="2" t="n">
        <x:v>25</x:v>
      </x:c>
      <x:c r="D40" s="2" t="str">
        <x:v>Lüneburg</x:v>
      </x:c>
      <x:c r="E40" s="8" t="n">
        <x:v>2760.387737478411</x:v>
      </x:c>
      <x:c r="F40" s="7" t="n">
        <x:v>37058</x:v>
      </x:c>
      <x:c r="G40" s="8" t="n">
        <x:f>E40*F40</x:f>
        <x:v>102294448.77547495</x:v>
      </x:c>
      <x:c r="H40" s="10" t="n">
        <x:f>F40/SUMIF($C$2:$C$403,C40,$F$2:$F$403)</x:f>
        <x:v>1</x:v>
      </x:c>
      <x:c r="I40" s="2" t="str">
        <x:v>https://statistik.arbeitsagentur.de/Statistikdaten/Detail/201512/iiia6/beschaeftigung-entgelt-entgelt/entgelt-d-0-201512-xlsm.xlsm?__blob=publicationFile&amp;v=2</x:v>
      </x:c>
      <x:c r="J40" s="2" t="str">
        <x:v>https://statistik.arbeitsagentur.de/Statistikdaten/Detail/201512/iiia6/beschaeftigung-sozbe-svb-kreise-merkmale/svb-kreise-merkmale-d-0-201512-xlsx.xlsx?__blob=publicationFile&amp;v=1</x:v>
      </x:c>
      <x:c r="K40" s="2" t="str">
        <x:v>https://www.bbsr.bund.de/BBSR/DE/forschung/raumbeobachtung/Raumabgrenzungen/deutschland/regionen/arbeitsmarktregionen/arbeitsmarktregionen-2017.csv?__blob=publicationFile&amp;v=2</x:v>
      </x:c>
    </x:row>
    <x:row r="41" ht="24" customHeight="1">
      <x:c r="A41" s="6" t="str">
        <x:v>03356</x:v>
      </x:c>
      <x:c r="B41" s="2" t="str">
        <x:v>Osterholz</x:v>
      </x:c>
      <x:c r="C41" s="2" t="n">
        <x:v>42</x:v>
      </x:c>
      <x:c r="D41" s="2" t="str">
        <x:v>Bremen</x:v>
      </x:c>
      <x:c r="E41" s="8" t="n">
        <x:v>2629.25</x:v>
      </x:c>
      <x:c r="F41" s="7" t="n">
        <x:v>15870</x:v>
      </x:c>
      <x:c r="G41" s="8" t="n">
        <x:f>E41*F41</x:f>
        <x:v>41726197.5</x:v>
      </x:c>
      <x:c r="H41" s="10" t="n">
        <x:f>F41/SUMIF($C$2:$C$403,C41,$F$2:$F$403)</x:f>
        <x:v>0.07277146001467351</x:v>
      </x:c>
      <x:c r="I41" s="2" t="str">
        <x:v>https://statistik.arbeitsagentur.de/Statistikdaten/Detail/201512/iiia6/beschaeftigung-entgelt-entgelt/entgelt-d-0-201512-xlsm.xlsm?__blob=publicationFile&amp;v=2</x:v>
      </x:c>
      <x:c r="J41" s="2" t="str">
        <x:v>https://statistik.arbeitsagentur.de/Statistikdaten/Detail/201512/iiia6/beschaeftigung-sozbe-svb-kreise-merkmale/svb-kreise-merkmale-d-0-201512-xlsx.xlsx?__blob=publicationFile&amp;v=1</x:v>
      </x:c>
      <x:c r="K41" s="2" t="str">
        <x:v>https://www.bbsr.bund.de/BBSR/DE/forschung/raumbeobachtung/Raumabgrenzungen/deutschland/regionen/arbeitsmarktregionen/arbeitsmarktregionen-2017.csv?__blob=publicationFile&amp;v=2</x:v>
      </x:c>
    </x:row>
    <x:row r="42" ht="24" customHeight="1">
      <x:c r="A42" s="6" t="str">
        <x:v>03357</x:v>
      </x:c>
      <x:c r="B42" s="2" t="str">
        <x:v>Rotenburg (Wümme)</x:v>
      </x:c>
      <x:c r="C42" s="2" t="n">
        <x:v>26</x:v>
      </x:c>
      <x:c r="D42" s="2" t="str">
        <x:v>Zeven</x:v>
      </x:c>
      <x:c r="E42" s="8" t="n">
        <x:v>2728.3195488721803</x:v>
      </x:c>
      <x:c r="F42" s="7" t="n">
        <x:v>38068</x:v>
      </x:c>
      <x:c r="G42" s="8" t="n">
        <x:f>E42*F42</x:f>
        <x:v>103861668.58646616</x:v>
      </x:c>
      <x:c r="H42" s="10" t="n">
        <x:f>F42/SUMIF($C$2:$C$403,C42,$F$2:$F$403)</x:f>
        <x:v>1</x:v>
      </x:c>
      <x:c r="I42" s="2" t="str">
        <x:v>https://statistik.arbeitsagentur.de/Statistikdaten/Detail/201512/iiia6/beschaeftigung-entgelt-entgelt/entgelt-d-0-201512-xlsm.xlsm?__blob=publicationFile&amp;v=2</x:v>
      </x:c>
      <x:c r="J42" s="2" t="str">
        <x:v>https://statistik.arbeitsagentur.de/Statistikdaten/Detail/201512/iiia6/beschaeftigung-sozbe-svb-kreise-merkmale/svb-kreise-merkmale-d-0-201512-xlsx.xlsx?__blob=publicationFile&amp;v=1</x:v>
      </x:c>
      <x:c r="K42" s="2" t="str">
        <x:v>https://www.bbsr.bund.de/BBSR/DE/forschung/raumbeobachtung/Raumabgrenzungen/deutschland/regionen/arbeitsmarktregionen/arbeitsmarktregionen-2017.csv?__blob=publicationFile&amp;v=2</x:v>
      </x:c>
    </x:row>
    <x:row r="43" ht="24" customHeight="1">
      <x:c r="A43" s="6" t="str">
        <x:v>03358</x:v>
      </x:c>
      <x:c r="B43" s="2" t="str">
        <x:v>Heidekreis</x:v>
      </x:c>
      <x:c r="C43" s="2" t="n">
        <x:v>27</x:v>
      </x:c>
      <x:c r="D43" s="2" t="str">
        <x:v>Soltau</x:v>
      </x:c>
      <x:c r="E43" s="8" t="n">
        <x:v>2793.3107606679037</x:v>
      </x:c>
      <x:c r="F43" s="7" t="n">
        <x:v>30956</x:v>
      </x:c>
      <x:c r="G43" s="8" t="n">
        <x:f>E43*F43</x:f>
        <x:v>86469727.90723562</x:v>
      </x:c>
      <x:c r="H43" s="10" t="n">
        <x:f>F43/SUMIF($C$2:$C$403,C43,$F$2:$F$403)</x:f>
        <x:v>1</x:v>
      </x:c>
      <x:c r="I43" s="2" t="str">
        <x:v>https://statistik.arbeitsagentur.de/Statistikdaten/Detail/201512/iiia6/beschaeftigung-entgelt-entgelt/entgelt-d-0-201512-xlsm.xlsm?__blob=publicationFile&amp;v=2</x:v>
      </x:c>
      <x:c r="J43" s="2" t="str">
        <x:v>https://statistik.arbeitsagentur.de/Statistikdaten/Detail/201512/iiia6/beschaeftigung-sozbe-svb-kreise-merkmale/svb-kreise-merkmale-d-0-201512-xlsx.xlsx?__blob=publicationFile&amp;v=1</x:v>
      </x:c>
      <x:c r="K43" s="2" t="str">
        <x:v>https://www.bbsr.bund.de/BBSR/DE/forschung/raumbeobachtung/Raumabgrenzungen/deutschland/regionen/arbeitsmarktregionen/arbeitsmarktregionen-2017.csv?__blob=publicationFile&amp;v=2</x:v>
      </x:c>
    </x:row>
    <x:row r="44" ht="24" customHeight="1">
      <x:c r="A44" s="6" t="str">
        <x:v>03359</x:v>
      </x:c>
      <x:c r="B44" s="2" t="str">
        <x:v>Stade</x:v>
      </x:c>
      <x:c r="C44" s="2" t="n">
        <x:v>28</x:v>
      </x:c>
      <x:c r="D44" s="2" t="str">
        <x:v>Stade</x:v>
      </x:c>
      <x:c r="E44" s="8" t="n">
        <x:v>2987.21357615894</x:v>
      </x:c>
      <x:c r="F44" s="7" t="n">
        <x:v>42130</x:v>
      </x:c>
      <x:c r="G44" s="8" t="n">
        <x:f>E44*F44</x:f>
        <x:v>125851307.96357615</x:v>
      </x:c>
      <x:c r="H44" s="10" t="n">
        <x:f>F44/SUMIF($C$2:$C$403,C44,$F$2:$F$403)</x:f>
        <x:v>1</x:v>
      </x:c>
      <x:c r="I44" s="2" t="str">
        <x:v>https://statistik.arbeitsagentur.de/Statistikdaten/Detail/201512/iiia6/beschaeftigung-entgelt-entgelt/entgelt-d-0-201512-xlsm.xlsm?__blob=publicationFile&amp;v=2</x:v>
      </x:c>
      <x:c r="J44" s="2" t="str">
        <x:v>https://statistik.arbeitsagentur.de/Statistikdaten/Detail/201512/iiia6/beschaeftigung-sozbe-svb-kreise-merkmale/svb-kreise-merkmale-d-0-201512-xlsx.xlsx?__blob=publicationFile&amp;v=1</x:v>
      </x:c>
      <x:c r="K44" s="2" t="str">
        <x:v>https://www.bbsr.bund.de/BBSR/DE/forschung/raumbeobachtung/Raumabgrenzungen/deutschland/regionen/arbeitsmarktregionen/arbeitsmarktregionen-2017.csv?__blob=publicationFile&amp;v=2</x:v>
      </x:c>
    </x:row>
    <x:row r="45" ht="24" customHeight="1">
      <x:c r="A45" s="6" t="str">
        <x:v>03360</x:v>
      </x:c>
      <x:c r="B45" s="2" t="str">
        <x:v>Uelzen</x:v>
      </x:c>
      <x:c r="C45" s="2" t="n">
        <x:v>29</x:v>
      </x:c>
      <x:c r="D45" s="2" t="str">
        <x:v>Uelzen</x:v>
      </x:c>
      <x:c r="E45" s="8" t="n">
        <x:v>2642.710682492582</x:v>
      </x:c>
      <x:c r="F45" s="7" t="n">
        <x:v>19693</x:v>
      </x:c>
      <x:c r="G45" s="8" t="n">
        <x:f>E45*F45</x:f>
        <x:v>52042901.470326416</x:v>
      </x:c>
      <x:c r="H45" s="10" t="n">
        <x:f>F45/SUMIF($C$2:$C$403,C45,$F$2:$F$403)</x:f>
        <x:v>0.6976406404987955</x:v>
      </x:c>
      <x:c r="I45" s="2" t="str">
        <x:v>https://statistik.arbeitsagentur.de/Statistikdaten/Detail/201512/iiia6/beschaeftigung-entgelt-entgelt/entgelt-d-0-201512-xlsm.xlsm?__blob=publicationFile&amp;v=2</x:v>
      </x:c>
      <x:c r="J45" s="2" t="str">
        <x:v>https://statistik.arbeitsagentur.de/Statistikdaten/Detail/201512/iiia6/beschaeftigung-sozbe-svb-kreise-merkmale/svb-kreise-merkmale-d-0-201512-xlsx.xlsx?__blob=publicationFile&amp;v=1</x:v>
      </x:c>
      <x:c r="K45" s="2" t="str">
        <x:v>https://www.bbsr.bund.de/BBSR/DE/forschung/raumbeobachtung/Raumabgrenzungen/deutschland/regionen/arbeitsmarktregionen/arbeitsmarktregionen-2017.csv?__blob=publicationFile&amp;v=2</x:v>
      </x:c>
    </x:row>
    <x:row r="46" ht="24" customHeight="1">
      <x:c r="A46" s="6" t="str">
        <x:v>03361</x:v>
      </x:c>
      <x:c r="B46" s="2" t="str">
        <x:v>Verden</x:v>
      </x:c>
      <x:c r="C46" s="2" t="n">
        <x:v>30</x:v>
      </x:c>
      <x:c r="D46" s="2" t="str">
        <x:v>Verden</x:v>
      </x:c>
      <x:c r="E46" s="8" t="n">
        <x:v>2826.079150579151</x:v>
      </x:c>
      <x:c r="F46" s="7" t="n">
        <x:v>31907</x:v>
      </x:c>
      <x:c r="G46" s="8" t="n">
        <x:f>E46*F46</x:f>
        <x:v>90171707.45752896</x:v>
      </x:c>
      <x:c r="H46" s="10" t="n">
        <x:f>F46/SUMIF($C$2:$C$403,C46,$F$2:$F$403)</x:f>
        <x:v>1</x:v>
      </x:c>
      <x:c r="I46" s="2" t="str">
        <x:v>https://statistik.arbeitsagentur.de/Statistikdaten/Detail/201512/iiia6/beschaeftigung-entgelt-entgelt/entgelt-d-0-201512-xlsm.xlsm?__blob=publicationFile&amp;v=2</x:v>
      </x:c>
      <x:c r="J46" s="2" t="str">
        <x:v>https://statistik.arbeitsagentur.de/Statistikdaten/Detail/201512/iiia6/beschaeftigung-sozbe-svb-kreise-merkmale/svb-kreise-merkmale-d-0-201512-xlsx.xlsx?__blob=publicationFile&amp;v=1</x:v>
      </x:c>
      <x:c r="K46" s="2" t="str">
        <x:v>https://www.bbsr.bund.de/BBSR/DE/forschung/raumbeobachtung/Raumabgrenzungen/deutschland/regionen/arbeitsmarktregionen/arbeitsmarktregionen-2017.csv?__blob=publicationFile&amp;v=2</x:v>
      </x:c>
    </x:row>
    <x:row r="47" ht="24" customHeight="1">
      <x:c r="A47" s="6" t="str">
        <x:v>03401</x:v>
      </x:c>
      <x:c r="B47" s="2" t="str">
        <x:v>Delmenhorst, Stadt</x:v>
      </x:c>
      <x:c r="C47" s="2" t="n">
        <x:v>42</x:v>
      </x:c>
      <x:c r="D47" s="2" t="str">
        <x:v>Bremen</x:v>
      </x:c>
      <x:c r="E47" s="8" t="n">
        <x:v>2740.5240384615386</x:v>
      </x:c>
      <x:c r="F47" s="7" t="n">
        <x:v>12628</x:v>
      </x:c>
      <x:c r="G47" s="8" t="n">
        <x:f>E47*F47</x:f>
        <x:v>34607337.55769231</x:v>
      </x:c>
      <x:c r="H47" s="10" t="n">
        <x:f>F47/SUMIF($C$2:$C$403,C47,$F$2:$F$403)</x:f>
        <x:v>0.05790535583272194</x:v>
      </x:c>
      <x:c r="I47" s="2" t="str">
        <x:v>https://statistik.arbeitsagentur.de/Statistikdaten/Detail/201512/iiia6/beschaeftigung-entgelt-entgelt/entgelt-d-0-201512-xlsm.xlsm?__blob=publicationFile&amp;v=2</x:v>
      </x:c>
      <x:c r="J47" s="2" t="str">
        <x:v>https://statistik.arbeitsagentur.de/Statistikdaten/Detail/201512/iiia6/beschaeftigung-sozbe-svb-kreise-merkmale/svb-kreise-merkmale-d-0-201512-xlsx.xlsx?__blob=publicationFile&amp;v=1</x:v>
      </x:c>
      <x:c r="K47" s="2" t="str">
        <x:v>https://www.bbsr.bund.de/BBSR/DE/forschung/raumbeobachtung/Raumabgrenzungen/deutschland/regionen/arbeitsmarktregionen/arbeitsmarktregionen-2017.csv?__blob=publicationFile&amp;v=2</x:v>
      </x:c>
    </x:row>
    <x:row r="48" ht="24" customHeight="1">
      <x:c r="A48" s="6" t="str">
        <x:v>03402</x:v>
      </x:c>
      <x:c r="B48" s="2" t="str">
        <x:v>Emden, Stadt</x:v>
      </x:c>
      <x:c r="C48" s="2" t="n">
        <x:v>31</x:v>
      </x:c>
      <x:c r="D48" s="2" t="str">
        <x:v>Emden</x:v>
      </x:c>
      <x:c r="E48" s="8" t="n">
        <x:v>3422.1321243523316</x:v>
      </x:c>
      <x:c r="F48" s="7" t="n">
        <x:v>29215</x:v>
      </x:c>
      <x:c r="G48" s="8" t="n">
        <x:f>E48*F48</x:f>
        <x:v>99977590.01295337</x:v>
      </x:c>
      <x:c r="H48" s="10" t="n">
        <x:f>F48/SUMIF($C$2:$C$403,C48,$F$2:$F$403)</x:f>
        <x:v>0.41568253606897926</x:v>
      </x:c>
      <x:c r="I48" s="2" t="str">
        <x:v>https://statistik.arbeitsagentur.de/Statistikdaten/Detail/201512/iiia6/beschaeftigung-entgelt-entgelt/entgelt-d-0-201512-xlsm.xlsm?__blob=publicationFile&amp;v=2</x:v>
      </x:c>
      <x:c r="J48" s="2" t="str">
        <x:v>https://statistik.arbeitsagentur.de/Statistikdaten/Detail/201512/iiia6/beschaeftigung-sozbe-svb-kreise-merkmale/svb-kreise-merkmale-d-0-201512-xlsx.xlsx?__blob=publicationFile&amp;v=1</x:v>
      </x:c>
      <x:c r="K48" s="2" t="str">
        <x:v>https://www.bbsr.bund.de/BBSR/DE/forschung/raumbeobachtung/Raumabgrenzungen/deutschland/regionen/arbeitsmarktregionen/arbeitsmarktregionen-2017.csv?__blob=publicationFile&amp;v=2</x:v>
      </x:c>
    </x:row>
    <x:row r="49" ht="24" customHeight="1">
      <x:c r="A49" s="6" t="str">
        <x:v>03403</x:v>
      </x:c>
      <x:c r="B49" s="2" t="str">
        <x:v>Oldenburg (Oldenburg), Stadt</x:v>
      </x:c>
      <x:c r="C49" s="2" t="n">
        <x:v>33</x:v>
      </x:c>
      <x:c r="D49" s="2" t="str">
        <x:v>Oldenburg</x:v>
      </x:c>
      <x:c r="E49" s="8" t="n">
        <x:v>3012.1847826086955</x:v>
      </x:c>
      <x:c r="F49" s="7" t="n">
        <x:v>52824</x:v>
      </x:c>
      <x:c r="G49" s="8" t="n">
        <x:f>E49*F49</x:f>
        <x:v>159115648.95652172</x:v>
      </x:c>
      <x:c r="H49" s="10" t="n">
        <x:f>F49/SUMIF($C$2:$C$403,C49,$F$2:$F$403)</x:f>
        <x:v>0.6882247179300102</x:v>
      </x:c>
      <x:c r="I49" s="2" t="str">
        <x:v>https://statistik.arbeitsagentur.de/Statistikdaten/Detail/201512/iiia6/beschaeftigung-entgelt-entgelt/entgelt-d-0-201512-xlsm.xlsm?__blob=publicationFile&amp;v=2</x:v>
      </x:c>
      <x:c r="J49" s="2" t="str">
        <x:v>https://statistik.arbeitsagentur.de/Statistikdaten/Detail/201512/iiia6/beschaeftigung-sozbe-svb-kreise-merkmale/svb-kreise-merkmale-d-0-201512-xlsx.xlsx?__blob=publicationFile&amp;v=1</x:v>
      </x:c>
      <x:c r="K49" s="2" t="str">
        <x:v>https://www.bbsr.bund.de/BBSR/DE/forschung/raumbeobachtung/Raumabgrenzungen/deutschland/regionen/arbeitsmarktregionen/arbeitsmarktregionen-2017.csv?__blob=publicationFile&amp;v=2</x:v>
      </x:c>
    </x:row>
    <x:row r="50" ht="24" customHeight="1">
      <x:c r="A50" s="6" t="str">
        <x:v>03404</x:v>
      </x:c>
      <x:c r="B50" s="2" t="str">
        <x:v>Osnabrück, Stadt</x:v>
      </x:c>
      <x:c r="C50" s="2" t="n">
        <x:v>34</x:v>
      </x:c>
      <x:c r="D50" s="2" t="str">
        <x:v>Osnabrück</x:v>
      </x:c>
      <x:c r="E50" s="8" t="n">
        <x:v>3108.911488862837</x:v>
      </x:c>
      <x:c r="F50" s="7" t="n">
        <x:v>61835</x:v>
      </x:c>
      <x:c r="G50" s="8" t="n">
        <x:f>E50*F50</x:f>
        <x:v>192239541.91383353</x:v>
      </x:c>
      <x:c r="H50" s="10" t="n">
        <x:f>F50/SUMIF($C$2:$C$403,C50,$F$2:$F$403)</x:f>
        <x:v>0.4080575444616755</x:v>
      </x:c>
      <x:c r="I50" s="2" t="str">
        <x:v>https://statistik.arbeitsagentur.de/Statistikdaten/Detail/201512/iiia6/beschaeftigung-entgelt-entgelt/entgelt-d-0-201512-xlsm.xlsm?__blob=publicationFile&amp;v=2</x:v>
      </x:c>
      <x:c r="J50" s="2" t="str">
        <x:v>https://statistik.arbeitsagentur.de/Statistikdaten/Detail/201512/iiia6/beschaeftigung-sozbe-svb-kreise-merkmale/svb-kreise-merkmale-d-0-201512-xlsx.xlsx?__blob=publicationFile&amp;v=1</x:v>
      </x:c>
      <x:c r="K50" s="2" t="str">
        <x:v>https://www.bbsr.bund.de/BBSR/DE/forschung/raumbeobachtung/Raumabgrenzungen/deutschland/regionen/arbeitsmarktregionen/arbeitsmarktregionen-2017.csv?__blob=publicationFile&amp;v=2</x:v>
      </x:c>
    </x:row>
    <x:row r="51" ht="24" customHeight="1">
      <x:c r="A51" s="6" t="str">
        <x:v>03405</x:v>
      </x:c>
      <x:c r="B51" s="2" t="str">
        <x:v>Wilhelmshaven, Stadt</x:v>
      </x:c>
      <x:c r="C51" s="2" t="n">
        <x:v>35</x:v>
      </x:c>
      <x:c r="D51" s="2" t="str">
        <x:v>Wilhelmshaven</x:v>
      </x:c>
      <x:c r="E51" s="8" t="n">
        <x:v>3084.048387096774</x:v>
      </x:c>
      <x:c r="F51" s="7" t="n">
        <x:v>21238</x:v>
      </x:c>
      <x:c r="G51" s="8" t="n">
        <x:f>E51*F51</x:f>
        <x:v>65499019.645161286</x:v>
      </x:c>
      <x:c r="H51" s="10" t="n">
        <x:f>F51/SUMIF($C$2:$C$403,C51,$F$2:$F$403)</x:f>
        <x:v>0.4278232142137706</x:v>
      </x:c>
      <x:c r="I51" s="2" t="str">
        <x:v>https://statistik.arbeitsagentur.de/Statistikdaten/Detail/201512/iiia6/beschaeftigung-entgelt-entgelt/entgelt-d-0-201512-xlsm.xlsm?__blob=publicationFile&amp;v=2</x:v>
      </x:c>
      <x:c r="J51" s="2" t="str">
        <x:v>https://statistik.arbeitsagentur.de/Statistikdaten/Detail/201512/iiia6/beschaeftigung-sozbe-svb-kreise-merkmale/svb-kreise-merkmale-d-0-201512-xlsx.xlsx?__blob=publicationFile&amp;v=1</x:v>
      </x:c>
      <x:c r="K51" s="2" t="str">
        <x:v>https://www.bbsr.bund.de/BBSR/DE/forschung/raumbeobachtung/Raumabgrenzungen/deutschland/regionen/arbeitsmarktregionen/arbeitsmarktregionen-2017.csv?__blob=publicationFile&amp;v=2</x:v>
      </x:c>
    </x:row>
    <x:row r="52" ht="24" customHeight="1">
      <x:c r="A52" s="6" t="str">
        <x:v>03451</x:v>
      </x:c>
      <x:c r="B52" s="2" t="str">
        <x:v>Ammerland</x:v>
      </x:c>
      <x:c r="C52" s="2" t="n">
        <x:v>32</x:v>
      </x:c>
      <x:c r="D52" s="2" t="str">
        <x:v>Westerstede</x:v>
      </x:c>
      <x:c r="E52" s="8" t="n">
        <x:v>2699.3596491228072</x:v>
      </x:c>
      <x:c r="F52" s="7" t="n">
        <x:v>28857</x:v>
      </x:c>
      <x:c r="G52" s="8" t="n">
        <x:f>E52*F52</x:f>
        <x:v>77895421.39473684</x:v>
      </x:c>
      <x:c r="H52" s="10" t="n">
        <x:f>F52/SUMIF($C$2:$C$403,C52,$F$2:$F$403)</x:f>
        <x:v>1</x:v>
      </x:c>
      <x:c r="I52" s="2" t="str">
        <x:v>https://statistik.arbeitsagentur.de/Statistikdaten/Detail/201512/iiia6/beschaeftigung-entgelt-entgelt/entgelt-d-0-201512-xlsm.xlsm?__blob=publicationFile&amp;v=2</x:v>
      </x:c>
      <x:c r="J52" s="2" t="str">
        <x:v>https://statistik.arbeitsagentur.de/Statistikdaten/Detail/201512/iiia6/beschaeftigung-sozbe-svb-kreise-merkmale/svb-kreise-merkmale-d-0-201512-xlsx.xlsx?__blob=publicationFile&amp;v=1</x:v>
      </x:c>
      <x:c r="K52" s="2" t="str">
        <x:v>https://www.bbsr.bund.de/BBSR/DE/forschung/raumbeobachtung/Raumabgrenzungen/deutschland/regionen/arbeitsmarktregionen/arbeitsmarktregionen-2017.csv?__blob=publicationFile&amp;v=2</x:v>
      </x:c>
    </x:row>
    <x:row r="53" ht="24" customHeight="1">
      <x:c r="A53" s="6" t="str">
        <x:v>03452</x:v>
      </x:c>
      <x:c r="B53" s="2" t="str">
        <x:v>Aurich</x:v>
      </x:c>
      <x:c r="C53" s="2" t="n">
        <x:v>31</x:v>
      </x:c>
      <x:c r="D53" s="2" t="str">
        <x:v>Emden</x:v>
      </x:c>
      <x:c r="E53" s="8" t="n">
        <x:v>2654.5902679830747</x:v>
      </x:c>
      <x:c r="F53" s="7" t="n">
        <x:v>41067</x:v>
      </x:c>
      <x:c r="G53" s="8" t="n">
        <x:f>E53*F53</x:f>
        <x:v>109016058.53526093</x:v>
      </x:c>
      <x:c r="H53" s="10" t="n">
        <x:f>F53/SUMIF($C$2:$C$403,C53,$F$2:$F$403)</x:f>
        <x:v>0.5843174639310208</x:v>
      </x:c>
      <x:c r="I53" s="2" t="str">
        <x:v>https://statistik.arbeitsagentur.de/Statistikdaten/Detail/201512/iiia6/beschaeftigung-entgelt-entgelt/entgelt-d-0-201512-xlsm.xlsm?__blob=publicationFile&amp;v=2</x:v>
      </x:c>
      <x:c r="J53" s="2" t="str">
        <x:v>https://statistik.arbeitsagentur.de/Statistikdaten/Detail/201512/iiia6/beschaeftigung-sozbe-svb-kreise-merkmale/svb-kreise-merkmale-d-0-201512-xlsx.xlsx?__blob=publicationFile&amp;v=1</x:v>
      </x:c>
      <x:c r="K53" s="2" t="str">
        <x:v>https://www.bbsr.bund.de/BBSR/DE/forschung/raumbeobachtung/Raumabgrenzungen/deutschland/regionen/arbeitsmarktregionen/arbeitsmarktregionen-2017.csv?__blob=publicationFile&amp;v=2</x:v>
      </x:c>
    </x:row>
    <x:row r="54" ht="24" customHeight="1">
      <x:c r="A54" s="6" t="str">
        <x:v>03453</x:v>
      </x:c>
      <x:c r="B54" s="2" t="str">
        <x:v>Cloppenburg</x:v>
      </x:c>
      <x:c r="C54" s="2" t="n">
        <x:v>36</x:v>
      </x:c>
      <x:c r="D54" s="2" t="str">
        <x:v>Cloppenburg</x:v>
      </x:c>
      <x:c r="E54" s="8" t="n">
        <x:v>2551.3833922261483</x:v>
      </x:c>
      <x:c r="F54" s="7" t="n">
        <x:v>45398</x:v>
      </x:c>
      <x:c r="G54" s="8" t="n">
        <x:f>E54*F54</x:f>
        <x:v>115827703.24028268</x:v>
      </x:c>
      <x:c r="H54" s="10" t="n">
        <x:f>F54/SUMIF($C$2:$C$403,C54,$F$2:$F$403)</x:f>
        <x:v>1</x:v>
      </x:c>
      <x:c r="I54" s="2" t="str">
        <x:v>https://statistik.arbeitsagentur.de/Statistikdaten/Detail/201512/iiia6/beschaeftigung-entgelt-entgelt/entgelt-d-0-201512-xlsm.xlsm?__blob=publicationFile&amp;v=2</x:v>
      </x:c>
      <x:c r="J54" s="2" t="str">
        <x:v>https://statistik.arbeitsagentur.de/Statistikdaten/Detail/201512/iiia6/beschaeftigung-sozbe-svb-kreise-merkmale/svb-kreise-merkmale-d-0-201512-xlsx.xlsx?__blob=publicationFile&amp;v=1</x:v>
      </x:c>
      <x:c r="K54" s="2" t="str">
        <x:v>https://www.bbsr.bund.de/BBSR/DE/forschung/raumbeobachtung/Raumabgrenzungen/deutschland/regionen/arbeitsmarktregionen/arbeitsmarktregionen-2017.csv?__blob=publicationFile&amp;v=2</x:v>
      </x:c>
    </x:row>
    <x:row r="55" ht="24" customHeight="1">
      <x:c r="A55" s="6" t="str">
        <x:v>03454</x:v>
      </x:c>
      <x:c r="B55" s="2" t="str">
        <x:v>Emsland</x:v>
      </x:c>
      <x:c r="C55" s="2" t="n">
        <x:v>37</x:v>
      </x:c>
      <x:c r="D55" s="2" t="str">
        <x:v>Lingen</x:v>
      </x:c>
      <x:c r="E55" s="8" t="n">
        <x:v>2872.9869451697127</x:v>
      </x:c>
      <x:c r="F55" s="7" t="n">
        <x:v>97292</x:v>
      </x:c>
      <x:c r="G55" s="8" t="n">
        <x:f>E55*F55</x:f>
        <x:v>279518645.8694517</x:v>
      </x:c>
      <x:c r="H55" s="10" t="n">
        <x:f>F55/SUMIF($C$2:$C$403,C55,$F$2:$F$403)</x:f>
        <x:v>1</x:v>
      </x:c>
      <x:c r="I55" s="2" t="str">
        <x:v>https://statistik.arbeitsagentur.de/Statistikdaten/Detail/201512/iiia6/beschaeftigung-entgelt-entgelt/entgelt-d-0-201512-xlsm.xlsm?__blob=publicationFile&amp;v=2</x:v>
      </x:c>
      <x:c r="J55" s="2" t="str">
        <x:v>https://statistik.arbeitsagentur.de/Statistikdaten/Detail/201512/iiia6/beschaeftigung-sozbe-svb-kreise-merkmale/svb-kreise-merkmale-d-0-201512-xlsx.xlsx?__blob=publicationFile&amp;v=1</x:v>
      </x:c>
      <x:c r="K55" s="2" t="str">
        <x:v>https://www.bbsr.bund.de/BBSR/DE/forschung/raumbeobachtung/Raumabgrenzungen/deutschland/regionen/arbeitsmarktregionen/arbeitsmarktregionen-2017.csv?__blob=publicationFile&amp;v=2</x:v>
      </x:c>
    </x:row>
    <x:row r="56" ht="24" customHeight="1">
      <x:c r="A56" s="6" t="str">
        <x:v>03455</x:v>
      </x:c>
      <x:c r="B56" s="2" t="str">
        <x:v>Friesland</x:v>
      </x:c>
      <x:c r="C56" s="2" t="n">
        <x:v>35</x:v>
      </x:c>
      <x:c r="D56" s="2" t="str">
        <x:v>Wilhelmshaven</x:v>
      </x:c>
      <x:c r="E56" s="8" t="n">
        <x:v>2759.553497942387</x:v>
      </x:c>
      <x:c r="F56" s="7" t="n">
        <x:v>18275</x:v>
      </x:c>
      <x:c r="G56" s="8" t="n">
        <x:f>E56*F56</x:f>
        <x:v>50430840.17489712</x:v>
      </x:c>
      <x:c r="H56" s="10" t="n">
        <x:f>F56/SUMIF($C$2:$C$403,C56,$F$2:$F$403)</x:f>
        <x:v>0.36813585270537047</x:v>
      </x:c>
      <x:c r="I56" s="2" t="str">
        <x:v>https://statistik.arbeitsagentur.de/Statistikdaten/Detail/201512/iiia6/beschaeftigung-entgelt-entgelt/entgelt-d-0-201512-xlsm.xlsm?__blob=publicationFile&amp;v=2</x:v>
      </x:c>
      <x:c r="J56" s="2" t="str">
        <x:v>https://statistik.arbeitsagentur.de/Statistikdaten/Detail/201512/iiia6/beschaeftigung-sozbe-svb-kreise-merkmale/svb-kreise-merkmale-d-0-201512-xlsx.xlsx?__blob=publicationFile&amp;v=1</x:v>
      </x:c>
      <x:c r="K56" s="2" t="str">
        <x:v>https://www.bbsr.bund.de/BBSR/DE/forschung/raumbeobachtung/Raumabgrenzungen/deutschland/regionen/arbeitsmarktregionen/arbeitsmarktregionen-2017.csv?__blob=publicationFile&amp;v=2</x:v>
      </x:c>
    </x:row>
    <x:row r="57" ht="24" customHeight="1">
      <x:c r="A57" s="6" t="str">
        <x:v>03456</x:v>
      </x:c>
      <x:c r="B57" s="2" t="str">
        <x:v>Grafschaft Bentheim</x:v>
      </x:c>
      <x:c r="C57" s="2" t="n">
        <x:v>38</x:v>
      </x:c>
      <x:c r="D57" s="2" t="str">
        <x:v>Nordhorn</x:v>
      </x:c>
      <x:c r="E57" s="8" t="n">
        <x:v>2728.324620573356</x:v>
      </x:c>
      <x:c r="F57" s="7" t="n">
        <x:v>34159</x:v>
      </x:c>
      <x:c r="G57" s="8" t="n">
        <x:f>E57*F57</x:f>
        <x:v>93196840.71416526</x:v>
      </x:c>
      <x:c r="H57" s="10" t="n">
        <x:f>F57/SUMIF($C$2:$C$403,C57,$F$2:$F$403)</x:f>
        <x:v>1</x:v>
      </x:c>
      <x:c r="I57" s="2" t="str">
        <x:v>https://statistik.arbeitsagentur.de/Statistikdaten/Detail/201512/iiia6/beschaeftigung-entgelt-entgelt/entgelt-d-0-201512-xlsm.xlsm?__blob=publicationFile&amp;v=2</x:v>
      </x:c>
      <x:c r="J57" s="2" t="str">
        <x:v>https://statistik.arbeitsagentur.de/Statistikdaten/Detail/201512/iiia6/beschaeftigung-sozbe-svb-kreise-merkmale/svb-kreise-merkmale-d-0-201512-xlsx.xlsx?__blob=publicationFile&amp;v=1</x:v>
      </x:c>
      <x:c r="K57" s="2" t="str">
        <x:v>https://www.bbsr.bund.de/BBSR/DE/forschung/raumbeobachtung/Raumabgrenzungen/deutschland/regionen/arbeitsmarktregionen/arbeitsmarktregionen-2017.csv?__blob=publicationFile&amp;v=2</x:v>
      </x:c>
    </x:row>
    <x:row r="58" ht="24" customHeight="1">
      <x:c r="A58" s="6" t="str">
        <x:v>03457</x:v>
      </x:c>
      <x:c r="B58" s="2" t="str">
        <x:v>Leer</x:v>
      </x:c>
      <x:c r="C58" s="2" t="n">
        <x:v>39</x:v>
      </x:c>
      <x:c r="D58" s="2" t="str">
        <x:v>Leer</x:v>
      </x:c>
      <x:c r="E58" s="8" t="n">
        <x:v>2685.6391650099404</x:v>
      </x:c>
      <x:c r="F58" s="7" t="n">
        <x:v>31504</x:v>
      </x:c>
      <x:c r="G58" s="8" t="n">
        <x:f>E58*F58</x:f>
        <x:v>84608376.25447316</x:v>
      </x:c>
      <x:c r="H58" s="10" t="n">
        <x:f>F58/SUMIF($C$2:$C$403,C58,$F$2:$F$403)</x:f>
        <x:v>1</x:v>
      </x:c>
      <x:c r="I58" s="2" t="str">
        <x:v>https://statistik.arbeitsagentur.de/Statistikdaten/Detail/201512/iiia6/beschaeftigung-entgelt-entgelt/entgelt-d-0-201512-xlsm.xlsm?__blob=publicationFile&amp;v=2</x:v>
      </x:c>
      <x:c r="J58" s="2" t="str">
        <x:v>https://statistik.arbeitsagentur.de/Statistikdaten/Detail/201512/iiia6/beschaeftigung-sozbe-svb-kreise-merkmale/svb-kreise-merkmale-d-0-201512-xlsx.xlsx?__blob=publicationFile&amp;v=1</x:v>
      </x:c>
      <x:c r="K58" s="2" t="str">
        <x:v>https://www.bbsr.bund.de/BBSR/DE/forschung/raumbeobachtung/Raumabgrenzungen/deutschland/regionen/arbeitsmarktregionen/arbeitsmarktregionen-2017.csv?__blob=publicationFile&amp;v=2</x:v>
      </x:c>
    </x:row>
    <x:row r="59" ht="24" customHeight="1">
      <x:c r="A59" s="6" t="str">
        <x:v>03458</x:v>
      </x:c>
      <x:c r="B59" s="2" t="str">
        <x:v>Oldenburg</x:v>
      </x:c>
      <x:c r="C59" s="2" t="n">
        <x:v>33</x:v>
      </x:c>
      <x:c r="D59" s="2" t="str">
        <x:v>Oldenburg</x:v>
      </x:c>
      <x:c r="E59" s="8" t="n">
        <x:v>2584.8230403800476</x:v>
      </x:c>
      <x:c r="F59" s="7" t="n">
        <x:v>23930</x:v>
      </x:c>
      <x:c r="G59" s="8" t="n">
        <x:f>E59*F59</x:f>
        <x:v>61854815.356294535</x:v>
      </x:c>
      <x:c r="H59" s="10" t="n">
        <x:f>F59/SUMIF($C$2:$C$403,C59,$F$2:$F$403)</x:f>
        <x:v>0.31177528206998983</x:v>
      </x:c>
      <x:c r="I59" s="2" t="str">
        <x:v>https://statistik.arbeitsagentur.de/Statistikdaten/Detail/201512/iiia6/beschaeftigung-entgelt-entgelt/entgelt-d-0-201512-xlsm.xlsm?__blob=publicationFile&amp;v=2</x:v>
      </x:c>
      <x:c r="J59" s="2" t="str">
        <x:v>https://statistik.arbeitsagentur.de/Statistikdaten/Detail/201512/iiia6/beschaeftigung-sozbe-svb-kreise-merkmale/svb-kreise-merkmale-d-0-201512-xlsx.xlsx?__blob=publicationFile&amp;v=1</x:v>
      </x:c>
      <x:c r="K59" s="2" t="str">
        <x:v>https://www.bbsr.bund.de/BBSR/DE/forschung/raumbeobachtung/Raumabgrenzungen/deutschland/regionen/arbeitsmarktregionen/arbeitsmarktregionen-2017.csv?__blob=publicationFile&amp;v=2</x:v>
      </x:c>
    </x:row>
    <x:row r="60" ht="24" customHeight="1">
      <x:c r="A60" s="6" t="str">
        <x:v>03459</x:v>
      </x:c>
      <x:c r="B60" s="2" t="str">
        <x:v>Osnabrück</x:v>
      </x:c>
      <x:c r="C60" s="2" t="n">
        <x:v>34</x:v>
      </x:c>
      <x:c r="D60" s="2" t="str">
        <x:v>Osnabrück</x:v>
      </x:c>
      <x:c r="E60" s="8" t="n">
        <x:v>2718.7119205298013</x:v>
      </x:c>
      <x:c r="F60" s="7" t="n">
        <x:v>89700</x:v>
      </x:c>
      <x:c r="G60" s="8" t="n">
        <x:f>E60*F60</x:f>
        <x:v>243868459.27152318</x:v>
      </x:c>
      <x:c r="H60" s="10" t="n">
        <x:f>F60/SUMIF($C$2:$C$403,C60,$F$2:$F$403)</x:f>
        <x:v>0.5919424555383245</x:v>
      </x:c>
      <x:c r="I60" s="2" t="str">
        <x:v>https://statistik.arbeitsagentur.de/Statistikdaten/Detail/201512/iiia6/beschaeftigung-entgelt-entgelt/entgelt-d-0-201512-xlsm.xlsm?__blob=publicationFile&amp;v=2</x:v>
      </x:c>
      <x:c r="J60" s="2" t="str">
        <x:v>https://statistik.arbeitsagentur.de/Statistikdaten/Detail/201512/iiia6/beschaeftigung-sozbe-svb-kreise-merkmale/svb-kreise-merkmale-d-0-201512-xlsx.xlsx?__blob=publicationFile&amp;v=1</x:v>
      </x:c>
      <x:c r="K60" s="2" t="str">
        <x:v>https://www.bbsr.bund.de/BBSR/DE/forschung/raumbeobachtung/Raumabgrenzungen/deutschland/regionen/arbeitsmarktregionen/arbeitsmarktregionen-2017.csv?__blob=publicationFile&amp;v=2</x:v>
      </x:c>
    </x:row>
    <x:row r="61" ht="24" customHeight="1">
      <x:c r="A61" s="6" t="str">
        <x:v>03460</x:v>
      </x:c>
      <x:c r="B61" s="2" t="str">
        <x:v>Vechta</x:v>
      </x:c>
      <x:c r="C61" s="2" t="n">
        <x:v>40</x:v>
      </x:c>
      <x:c r="D61" s="2" t="str">
        <x:v>Vechta</x:v>
      </x:c>
      <x:c r="E61" s="8" t="n">
        <x:v>2710.5461893764436</x:v>
      </x:c>
      <x:c r="F61" s="7" t="n">
        <x:v>52435</x:v>
      </x:c>
      <x:c r="G61" s="8" t="n">
        <x:f>E61*F61</x:f>
        <x:v>142127489.43995383</x:v>
      </x:c>
      <x:c r="H61" s="10" t="n">
        <x:f>F61/SUMIF($C$2:$C$403,C61,$F$2:$F$403)</x:f>
        <x:v>1</x:v>
      </x:c>
      <x:c r="I61" s="2" t="str">
        <x:v>https://statistik.arbeitsagentur.de/Statistikdaten/Detail/201512/iiia6/beschaeftigung-entgelt-entgelt/entgelt-d-0-201512-xlsm.xlsm?__blob=publicationFile&amp;v=2</x:v>
      </x:c>
      <x:c r="J61" s="2" t="str">
        <x:v>https://statistik.arbeitsagentur.de/Statistikdaten/Detail/201512/iiia6/beschaeftigung-sozbe-svb-kreise-merkmale/svb-kreise-merkmale-d-0-201512-xlsx.xlsx?__blob=publicationFile&amp;v=1</x:v>
      </x:c>
      <x:c r="K61" s="2" t="str">
        <x:v>https://www.bbsr.bund.de/BBSR/DE/forschung/raumbeobachtung/Raumabgrenzungen/deutschland/regionen/arbeitsmarktregionen/arbeitsmarktregionen-2017.csv?__blob=publicationFile&amp;v=2</x:v>
      </x:c>
    </x:row>
    <x:row r="62" ht="24" customHeight="1">
      <x:c r="A62" s="6" t="str">
        <x:v>03461</x:v>
      </x:c>
      <x:c r="B62" s="2" t="str">
        <x:v>Wesermarsch</x:v>
      </x:c>
      <x:c r="C62" s="2" t="n">
        <x:v>41</x:v>
      </x:c>
      <x:c r="D62" s="2" t="str">
        <x:v>Nordenham</x:v>
      </x:c>
      <x:c r="E62" s="8" t="n">
        <x:v>3338.0461254612546</x:v>
      </x:c>
      <x:c r="F62" s="7" t="n">
        <x:v>21811</x:v>
      </x:c>
      <x:c r="G62" s="8" t="n">
        <x:f>E62*F62</x:f>
        <x:v>72806124.04243542</x:v>
      </x:c>
      <x:c r="H62" s="10" t="n">
        <x:f>F62/SUMIF($C$2:$C$403,C62,$F$2:$F$403)</x:f>
        <x:v>1</x:v>
      </x:c>
      <x:c r="I62" s="2" t="str">
        <x:v>https://statistik.arbeitsagentur.de/Statistikdaten/Detail/201512/iiia6/beschaeftigung-entgelt-entgelt/entgelt-d-0-201512-xlsm.xlsm?__blob=publicationFile&amp;v=2</x:v>
      </x:c>
      <x:c r="J62" s="2" t="str">
        <x:v>https://statistik.arbeitsagentur.de/Statistikdaten/Detail/201512/iiia6/beschaeftigung-sozbe-svb-kreise-merkmale/svb-kreise-merkmale-d-0-201512-xlsx.xlsx?__blob=publicationFile&amp;v=1</x:v>
      </x:c>
      <x:c r="K62" s="2" t="str">
        <x:v>https://www.bbsr.bund.de/BBSR/DE/forschung/raumbeobachtung/Raumabgrenzungen/deutschland/regionen/arbeitsmarktregionen/arbeitsmarktregionen-2017.csv?__blob=publicationFile&amp;v=2</x:v>
      </x:c>
    </x:row>
    <x:row r="63" ht="24" customHeight="1">
      <x:c r="A63" s="6" t="str">
        <x:v>03462</x:v>
      </x:c>
      <x:c r="B63" s="2" t="str">
        <x:v>Wittmund</x:v>
      </x:c>
      <x:c r="C63" s="2" t="n">
        <x:v>35</x:v>
      </x:c>
      <x:c r="D63" s="2" t="str">
        <x:v>Wilhelmshaven</x:v>
      </x:c>
      <x:c r="E63" s="8" t="n">
        <x:v>2546.768656716418</x:v>
      </x:c>
      <x:c r="F63" s="7" t="n">
        <x:v>10129</x:v>
      </x:c>
      <x:c r="G63" s="8" t="n">
        <x:f>E63*F63</x:f>
        <x:v>25796219.723880596</x:v>
      </x:c>
      <x:c r="H63" s="10" t="n">
        <x:f>F63/SUMIF($C$2:$C$403,C63,$F$2:$F$403)</x:f>
        <x:v>0.20404093308085894</x:v>
      </x:c>
      <x:c r="I63" s="2" t="str">
        <x:v>https://statistik.arbeitsagentur.de/Statistikdaten/Detail/201512/iiia6/beschaeftigung-entgelt-entgelt/entgelt-d-0-201512-xlsm.xlsm?__blob=publicationFile&amp;v=2</x:v>
      </x:c>
      <x:c r="J63" s="2" t="str">
        <x:v>https://statistik.arbeitsagentur.de/Statistikdaten/Detail/201512/iiia6/beschaeftigung-sozbe-svb-kreise-merkmale/svb-kreise-merkmale-d-0-201512-xlsx.xlsx?__blob=publicationFile&amp;v=1</x:v>
      </x:c>
      <x:c r="K63" s="2" t="str">
        <x:v>https://www.bbsr.bund.de/BBSR/DE/forschung/raumbeobachtung/Raumabgrenzungen/deutschland/regionen/arbeitsmarktregionen/arbeitsmarktregionen-2017.csv?__blob=publicationFile&amp;v=2</x:v>
      </x:c>
    </x:row>
    <x:row r="64" ht="24" customHeight="1">
      <x:c r="A64" s="6" t="str">
        <x:v>04011</x:v>
      </x:c>
      <x:c r="B64" s="2" t="str">
        <x:v>Bremen, Stadt</x:v>
      </x:c>
      <x:c r="C64" s="2" t="n">
        <x:v>42</x:v>
      </x:c>
      <x:c r="D64" s="2" t="str">
        <x:v>Bremen</x:v>
      </x:c>
      <x:c r="E64" s="8" t="n">
        <x:v>3348.5325164938736</x:v>
      </x:c>
      <x:c r="F64" s="7" t="n">
        <x:v>189582</x:v>
      </x:c>
      <x:c r="G64" s="8" t="n">
        <x:f>E64*F64</x:f>
        <x:v>634821491.5419415</x:v>
      </x:c>
      <x:c r="H64" s="10" t="n">
        <x:f>F64/SUMIF($C$2:$C$403,C64,$F$2:$F$403)</x:f>
        <x:v>0.8693231841526046</x:v>
      </x:c>
      <x:c r="I64" s="2" t="str">
        <x:v>https://statistik.arbeitsagentur.de/Statistikdaten/Detail/201512/iiia6/beschaeftigung-entgelt-entgelt/entgelt-d-0-201512-xlsm.xlsm?__blob=publicationFile&amp;v=2</x:v>
      </x:c>
      <x:c r="J64" s="2" t="str">
        <x:v>https://statistik.arbeitsagentur.de/Statistikdaten/Detail/201512/iiia6/beschaeftigung-sozbe-svb-kreise-merkmale/svb-kreise-merkmale-d-0-201512-xlsx.xlsx?__blob=publicationFile&amp;v=1</x:v>
      </x:c>
      <x:c r="K64" s="2" t="str">
        <x:v>https://www.bbsr.bund.de/BBSR/DE/forschung/raumbeobachtung/Raumabgrenzungen/deutschland/regionen/arbeitsmarktregionen/arbeitsmarktregionen-2017.csv?__blob=publicationFile&amp;v=2</x:v>
      </x:c>
    </x:row>
    <x:row r="65" ht="24" customHeight="1">
      <x:c r="A65" s="6" t="str">
        <x:v>04012</x:v>
      </x:c>
      <x:c r="B65" s="2" t="str">
        <x:v>Bremerhaven, Stadt</x:v>
      </x:c>
      <x:c r="C65" s="2" t="n">
        <x:v>43</x:v>
      </x:c>
      <x:c r="D65" s="2" t="str">
        <x:v>Bremerhaven</x:v>
      </x:c>
      <x:c r="E65" s="8" t="n">
        <x:v>3084.195652173913</x:v>
      </x:c>
      <x:c r="F65" s="7" t="n">
        <x:v>38118</x:v>
      </x:c>
      <x:c r="G65" s="8" t="n">
        <x:f>E65*F65</x:f>
        <x:v>117563369.86956522</x:v>
      </x:c>
      <x:c r="H65" s="10" t="n">
        <x:f>F65/SUMIF($C$2:$C$403,C65,$F$2:$F$403)</x:f>
        <x:v>0.5641594885001332</x:v>
      </x:c>
      <x:c r="I65" s="2" t="str">
        <x:v>https://statistik.arbeitsagentur.de/Statistikdaten/Detail/201512/iiia6/beschaeftigung-entgelt-entgelt/entgelt-d-0-201512-xlsm.xlsm?__blob=publicationFile&amp;v=2</x:v>
      </x:c>
      <x:c r="J65" s="2" t="str">
        <x:v>https://statistik.arbeitsagentur.de/Statistikdaten/Detail/201512/iiia6/beschaeftigung-sozbe-svb-kreise-merkmale/svb-kreise-merkmale-d-0-201512-xlsx.xlsx?__blob=publicationFile&amp;v=1</x:v>
      </x:c>
      <x:c r="K65" s="2" t="str">
        <x:v>https://www.bbsr.bund.de/BBSR/DE/forschung/raumbeobachtung/Raumabgrenzungen/deutschland/regionen/arbeitsmarktregionen/arbeitsmarktregionen-2017.csv?__blob=publicationFile&amp;v=2</x:v>
      </x:c>
    </x:row>
    <x:row r="66" ht="24" customHeight="1">
      <x:c r="A66" s="6" t="str">
        <x:v>05111</x:v>
      </x:c>
      <x:c r="B66" s="2" t="str">
        <x:v>Düsseldorf, Stadt</x:v>
      </x:c>
      <x:c r="C66" s="2" t="n">
        <x:v>45</x:v>
      </x:c>
      <x:c r="D66" s="2" t="str">
        <x:v>Düsseldorf</x:v>
      </x:c>
      <x:c r="E66" s="8" t="n">
        <x:v>3742.4005673335323</x:v>
      </x:c>
      <x:c r="F66" s="7" t="n">
        <x:v>306972</x:v>
      </x:c>
      <x:c r="G66" s="8" t="n">
        <x:f>E66*F66</x:f>
        <x:v>1148812186.9555092</x:v>
      </x:c>
      <x:c r="H66" s="10" t="n">
        <x:f>F66/SUMIF($C$2:$C$403,C66,$F$2:$F$403)</x:f>
        <x:v>0.552941303619484</x:v>
      </x:c>
      <x:c r="I66" s="2" t="str">
        <x:v>https://statistik.arbeitsagentur.de/Statistikdaten/Detail/201512/iiia6/beschaeftigung-entgelt-entgelt/entgelt-d-0-201512-xlsm.xlsm?__blob=publicationFile&amp;v=2</x:v>
      </x:c>
      <x:c r="J66" s="2" t="str">
        <x:v>https://statistik.arbeitsagentur.de/Statistikdaten/Detail/201512/iiia6/beschaeftigung-sozbe-svb-kreise-merkmale/svb-kreise-merkmale-d-0-201512-xlsx.xlsx?__blob=publicationFile&amp;v=1</x:v>
      </x:c>
      <x:c r="K66" s="2" t="str">
        <x:v>https://www.bbsr.bund.de/BBSR/DE/forschung/raumbeobachtung/Raumabgrenzungen/deutschland/regionen/arbeitsmarktregionen/arbeitsmarktregionen-2017.csv?__blob=publicationFile&amp;v=2</x:v>
      </x:c>
    </x:row>
    <x:row r="67" ht="24" customHeight="1">
      <x:c r="A67" s="6" t="str">
        <x:v>05112</x:v>
      </x:c>
      <x:c r="B67" s="2" t="str">
        <x:v>Duisburg, Stadt</x:v>
      </x:c>
      <x:c r="C67" s="2" t="n">
        <x:v>46</x:v>
      </x:c>
      <x:c r="D67" s="2" t="str">
        <x:v>Duisburg</x:v>
      </x:c>
      <x:c r="E67" s="8" t="n">
        <x:v>3375.2463359639232</x:v>
      </x:c>
      <x:c r="F67" s="7" t="n">
        <x:v>127496</x:v>
      </x:c>
      <x:c r="G67" s="8" t="n">
        <x:f>E67*F67</x:f>
        <x:v>430330406.85005635</x:v>
      </x:c>
      <x:c r="H67" s="10" t="n">
        <x:f>F67/SUMIF($C$2:$C$403,C67,$F$2:$F$403)</x:f>
        <x:v>0.47838566974218893</x:v>
      </x:c>
      <x:c r="I67" s="2" t="str">
        <x:v>https://statistik.arbeitsagentur.de/Statistikdaten/Detail/201512/iiia6/beschaeftigung-entgelt-entgelt/entgelt-d-0-201512-xlsm.xlsm?__blob=publicationFile&amp;v=2</x:v>
      </x:c>
      <x:c r="J67" s="2" t="str">
        <x:v>https://statistik.arbeitsagentur.de/Statistikdaten/Detail/201512/iiia6/beschaeftigung-sozbe-svb-kreise-merkmale/svb-kreise-merkmale-d-0-201512-xlsx.xlsx?__blob=publicationFile&amp;v=1</x:v>
      </x:c>
      <x:c r="K67" s="2" t="str">
        <x:v>https://www.bbsr.bund.de/BBSR/DE/forschung/raumbeobachtung/Raumabgrenzungen/deutschland/regionen/arbeitsmarktregionen/arbeitsmarktregionen-2017.csv?__blob=publicationFile&amp;v=2</x:v>
      </x:c>
    </x:row>
    <x:row r="68" ht="24" customHeight="1">
      <x:c r="A68" s="6" t="str">
        <x:v>05113</x:v>
      </x:c>
      <x:c r="B68" s="2" t="str">
        <x:v>Essen, Stadt</x:v>
      </x:c>
      <x:c r="C68" s="2" t="n">
        <x:v>47</x:v>
      </x:c>
      <x:c r="D68" s="2" t="str">
        <x:v>Essen</x:v>
      </x:c>
      <x:c r="E68" s="8" t="n">
        <x:v>3326.981667503767</x:v>
      </x:c>
      <x:c r="F68" s="7" t="n">
        <x:v>175868</x:v>
      </x:c>
      <x:c r="G68" s="8" t="n">
        <x:f>E68*F68</x:f>
        <x:v>585109611.9005525</x:v>
      </x:c>
      <x:c r="H68" s="10" t="n">
        <x:f>F68/SUMIF($C$2:$C$403,C68,$F$2:$F$403)</x:f>
        <x:v>0.7947291599824667</x:v>
      </x:c>
      <x:c r="I68" s="2" t="str">
        <x:v>https://statistik.arbeitsagentur.de/Statistikdaten/Detail/201512/iiia6/beschaeftigung-entgelt-entgelt/entgelt-d-0-201512-xlsm.xlsm?__blob=publicationFile&amp;v=2</x:v>
      </x:c>
      <x:c r="J68" s="2" t="str">
        <x:v>https://statistik.arbeitsagentur.de/Statistikdaten/Detail/201512/iiia6/beschaeftigung-sozbe-svb-kreise-merkmale/svb-kreise-merkmale-d-0-201512-xlsx.xlsx?__blob=publicationFile&amp;v=1</x:v>
      </x:c>
      <x:c r="K68" s="2" t="str">
        <x:v>https://www.bbsr.bund.de/BBSR/DE/forschung/raumbeobachtung/Raumabgrenzungen/deutschland/regionen/arbeitsmarktregionen/arbeitsmarktregionen-2017.csv?__blob=publicationFile&amp;v=2</x:v>
      </x:c>
    </x:row>
    <x:row r="69" ht="24" customHeight="1">
      <x:c r="A69" s="6" t="str">
        <x:v>05114</x:v>
      </x:c>
      <x:c r="B69" s="2" t="str">
        <x:v>Krefeld, Stadt</x:v>
      </x:c>
      <x:c r="C69" s="2" t="n">
        <x:v>48</x:v>
      </x:c>
      <x:c r="D69" s="2" t="str">
        <x:v>Krefeld</x:v>
      </x:c>
      <x:c r="E69" s="8" t="n">
        <x:v>3385.8137516688917</x:v>
      </x:c>
      <x:c r="F69" s="7" t="n">
        <x:v>65715</x:v>
      </x:c>
      <x:c r="G69" s="8" t="n">
        <x:f>E69*F69</x:f>
        <x:v>222498750.69092122</x:v>
      </x:c>
      <x:c r="H69" s="10" t="n">
        <x:f>F69/SUMIF($C$2:$C$403,C69,$F$2:$F$403)</x:f>
        <x:v>1</x:v>
      </x:c>
      <x:c r="I69" s="2" t="str">
        <x:v>https://statistik.arbeitsagentur.de/Statistikdaten/Detail/201512/iiia6/beschaeftigung-entgelt-entgelt/entgelt-d-0-201512-xlsm.xlsm?__blob=publicationFile&amp;v=2</x:v>
      </x:c>
      <x:c r="J69" s="2" t="str">
        <x:v>https://statistik.arbeitsagentur.de/Statistikdaten/Detail/201512/iiia6/beschaeftigung-sozbe-svb-kreise-merkmale/svb-kreise-merkmale-d-0-201512-xlsx.xlsx?__blob=publicationFile&amp;v=1</x:v>
      </x:c>
      <x:c r="K69" s="2" t="str">
        <x:v>https://www.bbsr.bund.de/BBSR/DE/forschung/raumbeobachtung/Raumabgrenzungen/deutschland/regionen/arbeitsmarktregionen/arbeitsmarktregionen-2017.csv?__blob=publicationFile&amp;v=2</x:v>
      </x:c>
    </x:row>
    <x:row r="70" ht="24" customHeight="1">
      <x:c r="A70" s="6" t="str">
        <x:v>05116</x:v>
      </x:c>
      <x:c r="B70" s="2" t="str">
        <x:v>Mönchengladbach, Stadt</x:v>
      </x:c>
      <x:c r="C70" s="2" t="n">
        <x:v>50</x:v>
      </x:c>
      <x:c r="D70" s="2" t="str">
        <x:v>Mönchengladbach</x:v>
      </x:c>
      <x:c r="E70" s="8" t="n">
        <x:v>2981.59243697479</x:v>
      </x:c>
      <x:c r="F70" s="7" t="n">
        <x:v>69447</x:v>
      </x:c>
      <x:c r="G70" s="8" t="n">
        <x:f>E70*F70</x:f>
        <x:v>207062649.97058824</x:v>
      </x:c>
      <x:c r="H70" s="10" t="n">
        <x:f>F70/SUMIF($C$2:$C$403,C70,$F$2:$F$403)</x:f>
        <x:v>1</x:v>
      </x:c>
      <x:c r="I70" s="2" t="str">
        <x:v>https://statistik.arbeitsagentur.de/Statistikdaten/Detail/201512/iiia6/beschaeftigung-entgelt-entgelt/entgelt-d-0-201512-xlsm.xlsm?__blob=publicationFile&amp;v=2</x:v>
      </x:c>
      <x:c r="J70" s="2" t="str">
        <x:v>https://statistik.arbeitsagentur.de/Statistikdaten/Detail/201512/iiia6/beschaeftigung-sozbe-svb-kreise-merkmale/svb-kreise-merkmale-d-0-201512-xlsx.xlsx?__blob=publicationFile&amp;v=1</x:v>
      </x:c>
      <x:c r="K70" s="2" t="str">
        <x:v>https://www.bbsr.bund.de/BBSR/DE/forschung/raumbeobachtung/Raumabgrenzungen/deutschland/regionen/arbeitsmarktregionen/arbeitsmarktregionen-2017.csv?__blob=publicationFile&amp;v=2</x:v>
      </x:c>
    </x:row>
    <x:row r="71" ht="24" customHeight="1">
      <x:c r="A71" s="6" t="str">
        <x:v>05117</x:v>
      </x:c>
      <x:c r="B71" s="2" t="str">
        <x:v>Mülheim an der Ruhr, Stadt</x:v>
      </x:c>
      <x:c r="C71" s="2" t="n">
        <x:v>47</x:v>
      </x:c>
      <x:c r="D71" s="2" t="str">
        <x:v>Essen</x:v>
      </x:c>
      <x:c r="E71" s="8" t="n">
        <x:v>3421.9609800362978</x:v>
      </x:c>
      <x:c r="F71" s="7" t="n">
        <x:v>45425</x:v>
      </x:c>
      <x:c r="G71" s="8" t="n">
        <x:f>E71*F71</x:f>
        <x:v>155442577.51814884</x:v>
      </x:c>
      <x:c r="H71" s="10" t="n">
        <x:f>F71/SUMIF($C$2:$C$403,C71,$F$2:$F$403)</x:f>
        <x:v>0.20527084001753332</x:v>
      </x:c>
      <x:c r="I71" s="2" t="str">
        <x:v>https://statistik.arbeitsagentur.de/Statistikdaten/Detail/201512/iiia6/beschaeftigung-entgelt-entgelt/entgelt-d-0-201512-xlsm.xlsm?__blob=publicationFile&amp;v=2</x:v>
      </x:c>
      <x:c r="J71" s="2" t="str">
        <x:v>https://statistik.arbeitsagentur.de/Statistikdaten/Detail/201512/iiia6/beschaeftigung-sozbe-svb-kreise-merkmale/svb-kreise-merkmale-d-0-201512-xlsx.xlsx?__blob=publicationFile&amp;v=1</x:v>
      </x:c>
      <x:c r="K71" s="2" t="str">
        <x:v>https://www.bbsr.bund.de/BBSR/DE/forschung/raumbeobachtung/Raumabgrenzungen/deutschland/regionen/arbeitsmarktregionen/arbeitsmarktregionen-2017.csv?__blob=publicationFile&amp;v=2</x:v>
      </x:c>
    </x:row>
    <x:row r="72" ht="24" customHeight="1">
      <x:c r="A72" s="6" t="str">
        <x:v>05119</x:v>
      </x:c>
      <x:c r="B72" s="2" t="str">
        <x:v>Oberhausen, Stadt</x:v>
      </x:c>
      <x:c r="C72" s="2" t="n">
        <x:v>46</x:v>
      </x:c>
      <x:c r="D72" s="2" t="str">
        <x:v>Duisburg</x:v>
      </x:c>
      <x:c r="E72" s="8" t="n">
        <x:v>3157.3690095846646</x:v>
      </x:c>
      <x:c r="F72" s="7" t="n">
        <x:v>45931</x:v>
      </x:c>
      <x:c r="G72" s="8" t="n">
        <x:f>E72*F72</x:f>
        <x:v>145021115.97923324</x:v>
      </x:c>
      <x:c r="H72" s="10" t="n">
        <x:f>F72/SUMIF($C$2:$C$403,C72,$F$2:$F$403)</x:f>
        <x:v>0.1723405612484194</x:v>
      </x:c>
      <x:c r="I72" s="2" t="str">
        <x:v>https://statistik.arbeitsagentur.de/Statistikdaten/Detail/201512/iiia6/beschaeftigung-entgelt-entgelt/entgelt-d-0-201512-xlsm.xlsm?__blob=publicationFile&amp;v=2</x:v>
      </x:c>
      <x:c r="J72" s="2" t="str">
        <x:v>https://statistik.arbeitsagentur.de/Statistikdaten/Detail/201512/iiia6/beschaeftigung-sozbe-svb-kreise-merkmale/svb-kreise-merkmale-d-0-201512-xlsx.xlsx?__blob=publicationFile&amp;v=1</x:v>
      </x:c>
      <x:c r="K72" s="2" t="str">
        <x:v>https://www.bbsr.bund.de/BBSR/DE/forschung/raumbeobachtung/Raumabgrenzungen/deutschland/regionen/arbeitsmarktregionen/arbeitsmarktregionen-2017.csv?__blob=publicationFile&amp;v=2</x:v>
      </x:c>
    </x:row>
    <x:row r="73" ht="24" customHeight="1">
      <x:c r="A73" s="6" t="str">
        <x:v>05120</x:v>
      </x:c>
      <x:c r="B73" s="2" t="str">
        <x:v>Remscheid, Stadt</x:v>
      </x:c>
      <x:c r="C73" s="2" t="n">
        <x:v>54</x:v>
      </x:c>
      <x:c r="D73" s="2" t="str">
        <x:v>Remscheid</x:v>
      </x:c>
      <x:c r="E73" s="8" t="n">
        <x:v>3243.383211678832</x:v>
      </x:c>
      <x:c r="F73" s="7" t="n">
        <x:v>33434</x:v>
      </x:c>
      <x:c r="G73" s="8" t="n">
        <x:f>E73*F73</x:f>
        <x:v>108439274.29927008</x:v>
      </x:c>
      <x:c r="H73" s="10" t="n">
        <x:f>F73/SUMIF($C$2:$C$403,C73,$F$2:$F$403)</x:f>
        <x:v>1</x:v>
      </x:c>
      <x:c r="I73" s="2" t="str">
        <x:v>https://statistik.arbeitsagentur.de/Statistikdaten/Detail/201512/iiia6/beschaeftigung-entgelt-entgelt/entgelt-d-0-201512-xlsm.xlsm?__blob=publicationFile&amp;v=2</x:v>
      </x:c>
      <x:c r="J73" s="2" t="str">
        <x:v>https://statistik.arbeitsagentur.de/Statistikdaten/Detail/201512/iiia6/beschaeftigung-sozbe-svb-kreise-merkmale/svb-kreise-merkmale-d-0-201512-xlsx.xlsx?__blob=publicationFile&amp;v=1</x:v>
      </x:c>
      <x:c r="K73" s="2" t="str">
        <x:v>https://www.bbsr.bund.de/BBSR/DE/forschung/raumbeobachtung/Raumabgrenzungen/deutschland/regionen/arbeitsmarktregionen/arbeitsmarktregionen-2017.csv?__blob=publicationFile&amp;v=2</x:v>
      </x:c>
    </x:row>
    <x:row r="74" ht="24" customHeight="1">
      <x:c r="A74" s="6" t="str">
        <x:v>05122</x:v>
      </x:c>
      <x:c r="B74" s="2" t="str">
        <x:v>Solingen, Klingenstadt</x:v>
      </x:c>
      <x:c r="C74" s="2" t="n">
        <x:v>52</x:v>
      </x:c>
      <x:c r="D74" s="2" t="str">
        <x:v>Wuppertal</x:v>
      </x:c>
      <x:c r="E74" s="8" t="n">
        <x:v>2984.2927756653994</x:v>
      </x:c>
      <x:c r="F74" s="7" t="n">
        <x:v>37979</x:v>
      </x:c>
      <x:c r="G74" s="8" t="n">
        <x:f>E74*F74</x:f>
        <x:v>113340455.3269962</x:v>
      </x:c>
      <x:c r="H74" s="10" t="n">
        <x:f>F74/SUMIF($C$2:$C$403,C74,$F$2:$F$403)</x:f>
        <x:v>0.29958508187927935</x:v>
      </x:c>
      <x:c r="I74" s="2" t="str">
        <x:v>https://statistik.arbeitsagentur.de/Statistikdaten/Detail/201512/iiia6/beschaeftigung-entgelt-entgelt/entgelt-d-0-201512-xlsm.xlsm?__blob=publicationFile&amp;v=2</x:v>
      </x:c>
      <x:c r="J74" s="2" t="str">
        <x:v>https://statistik.arbeitsagentur.de/Statistikdaten/Detail/201512/iiia6/beschaeftigung-sozbe-svb-kreise-merkmale/svb-kreise-merkmale-d-0-201512-xlsx.xlsx?__blob=publicationFile&amp;v=1</x:v>
      </x:c>
      <x:c r="K74" s="2" t="str">
        <x:v>https://www.bbsr.bund.de/BBSR/DE/forschung/raumbeobachtung/Raumabgrenzungen/deutschland/regionen/arbeitsmarktregionen/arbeitsmarktregionen-2017.csv?__blob=publicationFile&amp;v=2</x:v>
      </x:c>
    </x:row>
    <x:row r="75" ht="24" customHeight="1">
      <x:c r="A75" s="6" t="str">
        <x:v>05124</x:v>
      </x:c>
      <x:c r="B75" s="2" t="str">
        <x:v>Wuppertal, Stadt</x:v>
      </x:c>
      <x:c r="C75" s="2" t="n">
        <x:v>52</x:v>
      </x:c>
      <x:c r="D75" s="2" t="str">
        <x:v>Wuppertal</x:v>
      </x:c>
      <x:c r="E75" s="8" t="n">
        <x:v>3248.407390917186</x:v>
      </x:c>
      <x:c r="F75" s="7" t="n">
        <x:v>88793</x:v>
      </x:c>
      <x:c r="G75" s="8" t="n">
        <x:f>E75*F75</x:f>
        <x:v>288435837.46170974</x:v>
      </x:c>
      <x:c r="H75" s="10" t="n">
        <x:f>F75/SUMIF($C$2:$C$403,C75,$F$2:$F$403)</x:f>
        <x:v>0.7004149181207207</x:v>
      </x:c>
      <x:c r="I75" s="2" t="str">
        <x:v>https://statistik.arbeitsagentur.de/Statistikdaten/Detail/201512/iiia6/beschaeftigung-entgelt-entgelt/entgelt-d-0-201512-xlsm.xlsm?__blob=publicationFile&amp;v=2</x:v>
      </x:c>
      <x:c r="J75" s="2" t="str">
        <x:v>https://statistik.arbeitsagentur.de/Statistikdaten/Detail/201512/iiia6/beschaeftigung-sozbe-svb-kreise-merkmale/svb-kreise-merkmale-d-0-201512-xlsx.xlsx?__blob=publicationFile&amp;v=1</x:v>
      </x:c>
      <x:c r="K75" s="2" t="str">
        <x:v>https://www.bbsr.bund.de/BBSR/DE/forschung/raumbeobachtung/Raumabgrenzungen/deutschland/regionen/arbeitsmarktregionen/arbeitsmarktregionen-2017.csv?__blob=publicationFile&amp;v=2</x:v>
      </x:c>
    </x:row>
    <x:row r="76" ht="24" customHeight="1">
      <x:c r="A76" s="6" t="str">
        <x:v>05154</x:v>
      </x:c>
      <x:c r="B76" s="2" t="str">
        <x:v>Kleve</x:v>
      </x:c>
      <x:c r="C76" s="2" t="n">
        <x:v>55</x:v>
      </x:c>
      <x:c r="D76" s="2" t="str">
        <x:v>Kleve</x:v>
      </x:c>
      <x:c r="E76" s="8" t="n">
        <x:v>2775.8263052208836</x:v>
      </x:c>
      <x:c r="F76" s="7" t="n">
        <x:v>67105</x:v>
      </x:c>
      <x:c r="G76" s="8" t="n">
        <x:f>E76*F76</x:f>
        <x:v>186271824.2118474</x:v>
      </x:c>
      <x:c r="H76" s="10" t="n">
        <x:f>F76/SUMIF($C$2:$C$403,C76,$F$2:$F$403)</x:f>
        <x:v>1</x:v>
      </x:c>
      <x:c r="I76" s="2" t="str">
        <x:v>https://statistik.arbeitsagentur.de/Statistikdaten/Detail/201512/iiia6/beschaeftigung-entgelt-entgelt/entgelt-d-0-201512-xlsm.xlsm?__blob=publicationFile&amp;v=2</x:v>
      </x:c>
      <x:c r="J76" s="2" t="str">
        <x:v>https://statistik.arbeitsagentur.de/Statistikdaten/Detail/201512/iiia6/beschaeftigung-sozbe-svb-kreise-merkmale/svb-kreise-merkmale-d-0-201512-xlsx.xlsx?__blob=publicationFile&amp;v=1</x:v>
      </x:c>
      <x:c r="K76" s="2" t="str">
        <x:v>https://www.bbsr.bund.de/BBSR/DE/forschung/raumbeobachtung/Raumabgrenzungen/deutschland/regionen/arbeitsmarktregionen/arbeitsmarktregionen-2017.csv?__blob=publicationFile&amp;v=2</x:v>
      </x:c>
    </x:row>
    <x:row r="77" ht="24" customHeight="1">
      <x:c r="A77" s="6" t="str">
        <x:v>05158</x:v>
      </x:c>
      <x:c r="B77" s="2" t="str">
        <x:v>Mettmann</x:v>
      </x:c>
      <x:c r="C77" s="2" t="n">
        <x:v>45</x:v>
      </x:c>
      <x:c r="D77" s="2" t="str">
        <x:v>Düsseldorf</x:v>
      </x:c>
      <x:c r="E77" s="8" t="n">
        <x:v>3355.065868263473</x:v>
      </x:c>
      <x:c r="F77" s="7" t="n">
        <x:v>139420</x:v>
      </x:c>
      <x:c r="G77" s="8" t="n">
        <x:f>E77*F77</x:f>
        <x:v>467763283.3532934</x:v>
      </x:c>
      <x:c r="H77" s="10" t="n">
        <x:f>F77/SUMIF($C$2:$C$403,C77,$F$2:$F$403)</x:f>
        <x:v>0.2511339032570673</x:v>
      </x:c>
      <x:c r="I77" s="2" t="str">
        <x:v>https://statistik.arbeitsagentur.de/Statistikdaten/Detail/201512/iiia6/beschaeftigung-entgelt-entgelt/entgelt-d-0-201512-xlsm.xlsm?__blob=publicationFile&amp;v=2</x:v>
      </x:c>
      <x:c r="J77" s="2" t="str">
        <x:v>https://statistik.arbeitsagentur.de/Statistikdaten/Detail/201512/iiia6/beschaeftigung-sozbe-svb-kreise-merkmale/svb-kreise-merkmale-d-0-201512-xlsx.xlsx?__blob=publicationFile&amp;v=1</x:v>
      </x:c>
      <x:c r="K77" s="2" t="str">
        <x:v>https://www.bbsr.bund.de/BBSR/DE/forschung/raumbeobachtung/Raumabgrenzungen/deutschland/regionen/arbeitsmarktregionen/arbeitsmarktregionen-2017.csv?__blob=publicationFile&amp;v=2</x:v>
      </x:c>
    </x:row>
    <x:row r="78" ht="24" customHeight="1">
      <x:c r="A78" s="6" t="str">
        <x:v>05162</x:v>
      </x:c>
      <x:c r="B78" s="2" t="str">
        <x:v>Rhein-Kreis Neuss</x:v>
      </x:c>
      <x:c r="C78" s="2" t="n">
        <x:v>45</x:v>
      </x:c>
      <x:c r="D78" s="2" t="str">
        <x:v>Düsseldorf</x:v>
      </x:c>
      <x:c r="E78" s="8" t="n">
        <x:v>3306.9489112227807</x:v>
      </x:c>
      <x:c r="F78" s="7" t="n">
        <x:v>108770</x:v>
      </x:c>
      <x:c r="G78" s="8" t="n">
        <x:f>E78*F78</x:f>
        <x:v>359696833.07370186</x:v>
      </x:c>
      <x:c r="H78" s="10" t="n">
        <x:f>F78/SUMIF($C$2:$C$403,C78,$F$2:$F$403)</x:f>
        <x:v>0.19592479312344865</x:v>
      </x:c>
      <x:c r="I78" s="2" t="str">
        <x:v>https://statistik.arbeitsagentur.de/Statistikdaten/Detail/201512/iiia6/beschaeftigung-entgelt-entgelt/entgelt-d-0-201512-xlsm.xlsm?__blob=publicationFile&amp;v=2</x:v>
      </x:c>
      <x:c r="J78" s="2" t="str">
        <x:v>https://statistik.arbeitsagentur.de/Statistikdaten/Detail/201512/iiia6/beschaeftigung-sozbe-svb-kreise-merkmale/svb-kreise-merkmale-d-0-201512-xlsx.xlsx?__blob=publicationFile&amp;v=1</x:v>
      </x:c>
      <x:c r="K78" s="2" t="str">
        <x:v>https://www.bbsr.bund.de/BBSR/DE/forschung/raumbeobachtung/Raumabgrenzungen/deutschland/regionen/arbeitsmarktregionen/arbeitsmarktregionen-2017.csv?__blob=publicationFile&amp;v=2</x:v>
      </x:c>
    </x:row>
    <x:row r="79" ht="24" customHeight="1">
      <x:c r="A79" s="6" t="str">
        <x:v>05166</x:v>
      </x:c>
      <x:c r="B79" s="2" t="str">
        <x:v>Viersen</x:v>
      </x:c>
      <x:c r="C79" s="2" t="n">
        <x:v>49</x:v>
      </x:c>
      <x:c r="D79" s="2" t="str">
        <x:v>Viersen</x:v>
      </x:c>
      <x:c r="E79" s="8" t="n">
        <x:v>2899.0477178423234</x:v>
      </x:c>
      <x:c r="F79" s="7" t="n">
        <x:v>62140</x:v>
      </x:c>
      <x:c r="G79" s="8" t="n">
        <x:f>E79*F79</x:f>
        <x:v>180146825.18672198</x:v>
      </x:c>
      <x:c r="H79" s="10" t="n">
        <x:f>F79/SUMIF($C$2:$C$403,C79,$F$2:$F$403)</x:f>
        <x:v>1</x:v>
      </x:c>
      <x:c r="I79" s="2" t="str">
        <x:v>https://statistik.arbeitsagentur.de/Statistikdaten/Detail/201512/iiia6/beschaeftigung-entgelt-entgelt/entgelt-d-0-201512-xlsm.xlsm?__blob=publicationFile&amp;v=2</x:v>
      </x:c>
      <x:c r="J79" s="2" t="str">
        <x:v>https://statistik.arbeitsagentur.de/Statistikdaten/Detail/201512/iiia6/beschaeftigung-sozbe-svb-kreise-merkmale/svb-kreise-merkmale-d-0-201512-xlsx.xlsx?__blob=publicationFile&amp;v=1</x:v>
      </x:c>
      <x:c r="K79" s="2" t="str">
        <x:v>https://www.bbsr.bund.de/BBSR/DE/forschung/raumbeobachtung/Raumabgrenzungen/deutschland/regionen/arbeitsmarktregionen/arbeitsmarktregionen-2017.csv?__blob=publicationFile&amp;v=2</x:v>
      </x:c>
    </x:row>
    <x:row r="80" ht="24" customHeight="1">
      <x:c r="A80" s="6" t="str">
        <x:v>05170</x:v>
      </x:c>
      <x:c r="B80" s="2" t="str">
        <x:v>Wesel</x:v>
      </x:c>
      <x:c r="C80" s="2" t="n">
        <x:v>46</x:v>
      </x:c>
      <x:c r="D80" s="2" t="str">
        <x:v>Duisburg</x:v>
      </x:c>
      <x:c r="E80" s="8" t="n">
        <x:v>2954.3992688870835</x:v>
      </x:c>
      <x:c r="F80" s="7" t="n">
        <x:v>93086</x:v>
      </x:c>
      <x:c r="G80" s="8" t="n">
        <x:f>E80*F80</x:f>
        <x:v>275013210.34362304</x:v>
      </x:c>
      <x:c r="H80" s="10" t="n">
        <x:f>F80/SUMIF($C$2:$C$403,C80,$F$2:$F$403)</x:f>
        <x:v>0.34927376900939167</x:v>
      </x:c>
      <x:c r="I80" s="2" t="str">
        <x:v>https://statistik.arbeitsagentur.de/Statistikdaten/Detail/201512/iiia6/beschaeftigung-entgelt-entgelt/entgelt-d-0-201512-xlsm.xlsm?__blob=publicationFile&amp;v=2</x:v>
      </x:c>
      <x:c r="J80" s="2" t="str">
        <x:v>https://statistik.arbeitsagentur.de/Statistikdaten/Detail/201512/iiia6/beschaeftigung-sozbe-svb-kreise-merkmale/svb-kreise-merkmale-d-0-201512-xlsx.xlsx?__blob=publicationFile&amp;v=1</x:v>
      </x:c>
      <x:c r="K80" s="2" t="str">
        <x:v>https://www.bbsr.bund.de/BBSR/DE/forschung/raumbeobachtung/Raumabgrenzungen/deutschland/regionen/arbeitsmarktregionen/arbeitsmarktregionen-2017.csv?__blob=publicationFile&amp;v=2</x:v>
      </x:c>
    </x:row>
    <x:row r="81" ht="24" customHeight="1">
      <x:c r="A81" s="6" t="str">
        <x:v>05314</x:v>
      </x:c>
      <x:c r="B81" s="2" t="str">
        <x:v>Bonn, Stadt</x:v>
      </x:c>
      <x:c r="C81" s="2" t="n">
        <x:v>59</x:v>
      </x:c>
      <x:c r="D81" s="2" t="str">
        <x:v>Bonn</x:v>
      </x:c>
      <x:c r="E81" s="8" t="n">
        <x:v>3702.2886855241263</x:v>
      </x:c>
      <x:c r="F81" s="7" t="n">
        <x:v>120956</x:v>
      </x:c>
      <x:c r="G81" s="8" t="n">
        <x:f>E81*F81</x:f>
        <x:v>447814030.24625623</x:v>
      </x:c>
      <x:c r="H81" s="10" t="n">
        <x:f>F81/SUMIF($C$2:$C$403,C81,$F$2:$F$403)</x:f>
        <x:v>0.5292089604480223</x:v>
      </x:c>
      <x:c r="I81" s="2" t="str">
        <x:v>https://statistik.arbeitsagentur.de/Statistikdaten/Detail/201512/iiia6/beschaeftigung-entgelt-entgelt/entgelt-d-0-201512-xlsm.xlsm?__blob=publicationFile&amp;v=2</x:v>
      </x:c>
      <x:c r="J81" s="2" t="str">
        <x:v>https://statistik.arbeitsagentur.de/Statistikdaten/Detail/201512/iiia6/beschaeftigung-sozbe-svb-kreise-merkmale/svb-kreise-merkmale-d-0-201512-xlsx.xlsx?__blob=publicationFile&amp;v=1</x:v>
      </x:c>
      <x:c r="K81" s="2" t="str">
        <x:v>https://www.bbsr.bund.de/BBSR/DE/forschung/raumbeobachtung/Raumabgrenzungen/deutschland/regionen/arbeitsmarktregionen/arbeitsmarktregionen-2017.csv?__blob=publicationFile&amp;v=2</x:v>
      </x:c>
    </x:row>
    <x:row r="82" ht="24" customHeight="1">
      <x:c r="A82" s="6" t="str">
        <x:v>05315</x:v>
      </x:c>
      <x:c r="B82" s="2" t="str">
        <x:v>Köln, Stadt</x:v>
      </x:c>
      <x:c r="C82" s="2" t="n">
        <x:v>57</x:v>
      </x:c>
      <x:c r="D82" s="2" t="str">
        <x:v>Köln</x:v>
      </x:c>
      <x:c r="E82" s="8" t="n">
        <x:v>3555.2300554350445</x:v>
      </x:c>
      <x:c r="F82" s="7" t="n">
        <x:v>392763</x:v>
      </x:c>
      <x:c r="G82" s="8" t="n">
        <x:f>E82*F82</x:f>
        <x:v>1396362822.2628343</x:v>
      </x:c>
      <x:c r="H82" s="10" t="n">
        <x:f>F82/SUMIF($C$2:$C$403,C82,$F$2:$F$403)</x:f>
        <x:v>0.7219058787201506</x:v>
      </x:c>
      <x:c r="I82" s="2" t="str">
        <x:v>https://statistik.arbeitsagentur.de/Statistikdaten/Detail/201512/iiia6/beschaeftigung-entgelt-entgelt/entgelt-d-0-201512-xlsm.xlsm?__blob=publicationFile&amp;v=2</x:v>
      </x:c>
      <x:c r="J82" s="2" t="str">
        <x:v>https://statistik.arbeitsagentur.de/Statistikdaten/Detail/201512/iiia6/beschaeftigung-sozbe-svb-kreise-merkmale/svb-kreise-merkmale-d-0-201512-xlsx.xlsx?__blob=publicationFile&amp;v=1</x:v>
      </x:c>
      <x:c r="K82" s="2" t="str">
        <x:v>https://www.bbsr.bund.de/BBSR/DE/forschung/raumbeobachtung/Raumabgrenzungen/deutschland/regionen/arbeitsmarktregionen/arbeitsmarktregionen-2017.csv?__blob=publicationFile&amp;v=2</x:v>
      </x:c>
    </x:row>
    <x:row r="83" ht="24" customHeight="1">
      <x:c r="A83" s="6" t="str">
        <x:v>05316</x:v>
      </x:c>
      <x:c r="B83" s="2" t="str">
        <x:v>Leverkusen, Stadt</x:v>
      </x:c>
      <x:c r="C83" s="2" t="n">
        <x:v>58</x:v>
      </x:c>
      <x:c r="D83" s="2" t="str">
        <x:v>Leverkusen</x:v>
      </x:c>
      <x:c r="E83" s="8" t="n">
        <x:v>4048.331632653061</x:v>
      </x:c>
      <x:c r="F83" s="7" t="n">
        <x:v>48327</x:v>
      </x:c>
      <x:c r="G83" s="8" t="n">
        <x:f>E83*F83</x:f>
        <x:v>195643722.8112245</x:v>
      </x:c>
      <x:c r="H83" s="10" t="n">
        <x:f>F83/SUMIF($C$2:$C$403,C83,$F$2:$F$403)</x:f>
        <x:v>1</x:v>
      </x:c>
      <x:c r="I83" s="2" t="str">
        <x:v>https://statistik.arbeitsagentur.de/Statistikdaten/Detail/201512/iiia6/beschaeftigung-entgelt-entgelt/entgelt-d-0-201512-xlsm.xlsm?__blob=publicationFile&amp;v=2</x:v>
      </x:c>
      <x:c r="J83" s="2" t="str">
        <x:v>https://statistik.arbeitsagentur.de/Statistikdaten/Detail/201512/iiia6/beschaeftigung-sozbe-svb-kreise-merkmale/svb-kreise-merkmale-d-0-201512-xlsx.xlsx?__blob=publicationFile&amp;v=1</x:v>
      </x:c>
      <x:c r="K83" s="2" t="str">
        <x:v>https://www.bbsr.bund.de/BBSR/DE/forschung/raumbeobachtung/Raumabgrenzungen/deutschland/regionen/arbeitsmarktregionen/arbeitsmarktregionen-2017.csv?__blob=publicationFile&amp;v=2</x:v>
      </x:c>
    </x:row>
    <x:row r="84" ht="24" customHeight="1">
      <x:c r="A84" s="6" t="str">
        <x:v>05334</x:v>
      </x:c>
      <x:c r="B84" s="2" t="str">
        <x:v>Städteregion Aachen</x:v>
      </x:c>
      <x:c r="C84" s="2" t="n">
        <x:v>56</x:v>
      </x:c>
      <x:c r="D84" s="2" t="str">
        <x:v>Aachen</x:v>
      </x:c>
      <x:c r="E84" s="8" t="n">
        <x:v>3217.0439242503944</x:v>
      </x:c>
      <x:c r="F84" s="7" t="n">
        <x:v>145330</x:v>
      </x:c>
      <x:c r="G84" s="8" t="n">
        <x:f>E84*F84</x:f>
        <x:v>467532993.5113098</x:v>
      </x:c>
      <x:c r="H84" s="10" t="n">
        <x:f>F84/SUMIF($C$2:$C$403,C84,$F$2:$F$403)</x:f>
        <x:v>1</x:v>
      </x:c>
      <x:c r="I84" s="2" t="str">
        <x:v>https://statistik.arbeitsagentur.de/Statistikdaten/Detail/201512/iiia6/beschaeftigung-entgelt-entgelt/entgelt-d-0-201512-xlsm.xlsm?__blob=publicationFile&amp;v=2</x:v>
      </x:c>
      <x:c r="J84" s="2" t="str">
        <x:v>https://statistik.arbeitsagentur.de/Statistikdaten/Detail/201512/iiia6/beschaeftigung-sozbe-svb-kreise-merkmale/svb-kreise-merkmale-d-0-201512-xlsx.xlsx?__blob=publicationFile&amp;v=1</x:v>
      </x:c>
      <x:c r="K84" s="2" t="str">
        <x:v>https://www.bbsr.bund.de/BBSR/DE/forschung/raumbeobachtung/Raumabgrenzungen/deutschland/regionen/arbeitsmarktregionen/arbeitsmarktregionen-2017.csv?__blob=publicationFile&amp;v=2</x:v>
      </x:c>
    </x:row>
    <x:row r="85" ht="24" customHeight="1">
      <x:c r="A85" s="6" t="str">
        <x:v>05358</x:v>
      </x:c>
      <x:c r="B85" s="2" t="str">
        <x:v>Düren</x:v>
      </x:c>
      <x:c r="C85" s="2" t="n">
        <x:v>60</x:v>
      </x:c>
      <x:c r="D85" s="2" t="str">
        <x:v>Düren</x:v>
      </x:c>
      <x:c r="E85" s="8" t="n">
        <x:v>3136.014888337469</x:v>
      </x:c>
      <x:c r="F85" s="7" t="n">
        <x:v>56978</x:v>
      </x:c>
      <x:c r="G85" s="8" t="n">
        <x:f>E85*F85</x:f>
        <x:v>178683856.30769232</x:v>
      </x:c>
      <x:c r="H85" s="10" t="n">
        <x:f>F85/SUMIF($C$2:$C$403,C85,$F$2:$F$403)</x:f>
        <x:v>1</x:v>
      </x:c>
      <x:c r="I85" s="2" t="str">
        <x:v>https://statistik.arbeitsagentur.de/Statistikdaten/Detail/201512/iiia6/beschaeftigung-entgelt-entgelt/entgelt-d-0-201512-xlsm.xlsm?__blob=publicationFile&amp;v=2</x:v>
      </x:c>
      <x:c r="J85" s="2" t="str">
        <x:v>https://statistik.arbeitsagentur.de/Statistikdaten/Detail/201512/iiia6/beschaeftigung-sozbe-svb-kreise-merkmale/svb-kreise-merkmale-d-0-201512-xlsx.xlsx?__blob=publicationFile&amp;v=1</x:v>
      </x:c>
      <x:c r="K85" s="2" t="str">
        <x:v>https://www.bbsr.bund.de/BBSR/DE/forschung/raumbeobachtung/Raumabgrenzungen/deutschland/regionen/arbeitsmarktregionen/arbeitsmarktregionen-2017.csv?__blob=publicationFile&amp;v=2</x:v>
      </x:c>
    </x:row>
    <x:row r="86" ht="24" customHeight="1">
      <x:c r="A86" s="6" t="str">
        <x:v>05362</x:v>
      </x:c>
      <x:c r="B86" s="2" t="str">
        <x:v>Rhein-Erft-Kreis</x:v>
      </x:c>
      <x:c r="C86" s="2" t="n">
        <x:v>57</x:v>
      </x:c>
      <x:c r="D86" s="2" t="str">
        <x:v>Köln</x:v>
      </x:c>
      <x:c r="E86" s="8" t="n">
        <x:v>3109.480181668043</x:v>
      </x:c>
      <x:c r="F86" s="7" t="n">
        <x:v>100484</x:v>
      </x:c>
      <x:c r="G86" s="8" t="n">
        <x:f>E86*F86</x:f>
        <x:v>312453006.57473165</x:v>
      </x:c>
      <x:c r="H86" s="10" t="n">
        <x:f>F86/SUMIF($C$2:$C$403,C86,$F$2:$F$403)</x:f>
        <x:v>0.18469150688154334</x:v>
      </x:c>
      <x:c r="I86" s="2" t="str">
        <x:v>https://statistik.arbeitsagentur.de/Statistikdaten/Detail/201512/iiia6/beschaeftigung-entgelt-entgelt/entgelt-d-0-201512-xlsm.xlsm?__blob=publicationFile&amp;v=2</x:v>
      </x:c>
      <x:c r="J86" s="2" t="str">
        <x:v>https://statistik.arbeitsagentur.de/Statistikdaten/Detail/201512/iiia6/beschaeftigung-sozbe-svb-kreise-merkmale/svb-kreise-merkmale-d-0-201512-xlsx.xlsx?__blob=publicationFile&amp;v=1</x:v>
      </x:c>
      <x:c r="K86" s="2" t="str">
        <x:v>https://www.bbsr.bund.de/BBSR/DE/forschung/raumbeobachtung/Raumabgrenzungen/deutschland/regionen/arbeitsmarktregionen/arbeitsmarktregionen-2017.csv?__blob=publicationFile&amp;v=2</x:v>
      </x:c>
    </x:row>
    <x:row r="87" ht="24" customHeight="1">
      <x:c r="A87" s="6" t="str">
        <x:v>05366</x:v>
      </x:c>
      <x:c r="B87" s="2" t="str">
        <x:v>Euskirchen</x:v>
      </x:c>
      <x:c r="C87" s="2" t="n">
        <x:v>61</x:v>
      </x:c>
      <x:c r="D87" s="2" t="str">
        <x:v>Euskirchen</x:v>
      </x:c>
      <x:c r="E87" s="8" t="n">
        <x:v>2943.3006329113923</x:v>
      </x:c>
      <x:c r="F87" s="7" t="n">
        <x:v>39205</x:v>
      </x:c>
      <x:c r="G87" s="8" t="n">
        <x:f>E87*F87</x:f>
        <x:v>115392101.31329113</x:v>
      </x:c>
      <x:c r="H87" s="10" t="n">
        <x:f>F87/SUMIF($C$2:$C$403,C87,$F$2:$F$403)</x:f>
        <x:v>1</x:v>
      </x:c>
      <x:c r="I87" s="2" t="str">
        <x:v>https://statistik.arbeitsagentur.de/Statistikdaten/Detail/201512/iiia6/beschaeftigung-entgelt-entgelt/entgelt-d-0-201512-xlsm.xlsm?__blob=publicationFile&amp;v=2</x:v>
      </x:c>
      <x:c r="J87" s="2" t="str">
        <x:v>https://statistik.arbeitsagentur.de/Statistikdaten/Detail/201512/iiia6/beschaeftigung-sozbe-svb-kreise-merkmale/svb-kreise-merkmale-d-0-201512-xlsx.xlsx?__blob=publicationFile&amp;v=1</x:v>
      </x:c>
      <x:c r="K87" s="2" t="str">
        <x:v>https://www.bbsr.bund.de/BBSR/DE/forschung/raumbeobachtung/Raumabgrenzungen/deutschland/regionen/arbeitsmarktregionen/arbeitsmarktregionen-2017.csv?__blob=publicationFile&amp;v=2</x:v>
      </x:c>
    </x:row>
    <x:row r="88" ht="24" customHeight="1">
      <x:c r="A88" s="6" t="str">
        <x:v>05370</x:v>
      </x:c>
      <x:c r="B88" s="2" t="str">
        <x:v>Heinsberg</x:v>
      </x:c>
      <x:c r="C88" s="2" t="n">
        <x:v>51</x:v>
      </x:c>
      <x:c r="D88" s="2" t="str">
        <x:v>Heinsberg</x:v>
      </x:c>
      <x:c r="E88" s="8" t="n">
        <x:v>2826.759946949602</x:v>
      </x:c>
      <x:c r="F88" s="7" t="n">
        <x:v>47149</x:v>
      </x:c>
      <x:c r="G88" s="8" t="n">
        <x:f>E88*F88</x:f>
        <x:v>133278904.7387268</x:v>
      </x:c>
      <x:c r="H88" s="10" t="n">
        <x:f>F88/SUMIF($C$2:$C$403,C88,$F$2:$F$403)</x:f>
        <x:v>1</x:v>
      </x:c>
      <x:c r="I88" s="2" t="str">
        <x:v>https://statistik.arbeitsagentur.de/Statistikdaten/Detail/201512/iiia6/beschaeftigung-entgelt-entgelt/entgelt-d-0-201512-xlsm.xlsm?__blob=publicationFile&amp;v=2</x:v>
      </x:c>
      <x:c r="J88" s="2" t="str">
        <x:v>https://statistik.arbeitsagentur.de/Statistikdaten/Detail/201512/iiia6/beschaeftigung-sozbe-svb-kreise-merkmale/svb-kreise-merkmale-d-0-201512-xlsx.xlsx?__blob=publicationFile&amp;v=1</x:v>
      </x:c>
      <x:c r="K88" s="2" t="str">
        <x:v>https://www.bbsr.bund.de/BBSR/DE/forschung/raumbeobachtung/Raumabgrenzungen/deutschland/regionen/arbeitsmarktregionen/arbeitsmarktregionen-2017.csv?__blob=publicationFile&amp;v=2</x:v>
      </x:c>
    </x:row>
    <x:row r="89" ht="24" customHeight="1">
      <x:c r="A89" s="6" t="str">
        <x:v>05374</x:v>
      </x:c>
      <x:c r="B89" s="2" t="str">
        <x:v>Oberbergischer Kreis</x:v>
      </x:c>
      <x:c r="C89" s="2" t="n">
        <x:v>62</x:v>
      </x:c>
      <x:c r="D89" s="2" t="str">
        <x:v>Gummersbach</x:v>
      </x:c>
      <x:c r="E89" s="8" t="n">
        <x:v>3192.8060156931124</x:v>
      </x:c>
      <x:c r="F89" s="7" t="n">
        <x:v>78027</x:v>
      </x:c>
      <x:c r="G89" s="8" t="n">
        <x:f>E89*F89</x:f>
        <x:v>249125074.9864865</x:v>
      </x:c>
      <x:c r="H89" s="10" t="n">
        <x:f>F89/SUMIF($C$2:$C$403,C89,$F$2:$F$403)</x:f>
        <x:v>1</x:v>
      </x:c>
      <x:c r="I89" s="2" t="str">
        <x:v>https://statistik.arbeitsagentur.de/Statistikdaten/Detail/201512/iiia6/beschaeftigung-entgelt-entgelt/entgelt-d-0-201512-xlsm.xlsm?__blob=publicationFile&amp;v=2</x:v>
      </x:c>
      <x:c r="J89" s="2" t="str">
        <x:v>https://statistik.arbeitsagentur.de/Statistikdaten/Detail/201512/iiia6/beschaeftigung-sozbe-svb-kreise-merkmale/svb-kreise-merkmale-d-0-201512-xlsx.xlsx?__blob=publicationFile&amp;v=1</x:v>
      </x:c>
      <x:c r="K89" s="2" t="str">
        <x:v>https://www.bbsr.bund.de/BBSR/DE/forschung/raumbeobachtung/Raumabgrenzungen/deutschland/regionen/arbeitsmarktregionen/arbeitsmarktregionen-2017.csv?__blob=publicationFile&amp;v=2</x:v>
      </x:c>
    </x:row>
    <x:row r="90" ht="24" customHeight="1">
      <x:c r="A90" s="6" t="str">
        <x:v>05378</x:v>
      </x:c>
      <x:c r="B90" s="2" t="str">
        <x:v>Rheinisch-Bergischer Kreis</x:v>
      </x:c>
      <x:c r="C90" s="2" t="n">
        <x:v>57</x:v>
      </x:c>
      <x:c r="D90" s="2" t="str">
        <x:v>Köln</x:v>
      </x:c>
      <x:c r="E90" s="8" t="n">
        <x:v>3085.2631241997437</x:v>
      </x:c>
      <x:c r="F90" s="7" t="n">
        <x:v>50817</x:v>
      </x:c>
      <x:c r="G90" s="8" t="n">
        <x:f>E90*F90</x:f>
        <x:v>156783816.18245837</x:v>
      </x:c>
      <x:c r="H90" s="10" t="n">
        <x:f>F90/SUMIF($C$2:$C$403,C90,$F$2:$F$403)</x:f>
        <x:v>0.09340261439830608</x:v>
      </x:c>
      <x:c r="I90" s="2" t="str">
        <x:v>https://statistik.arbeitsagentur.de/Statistikdaten/Detail/201512/iiia6/beschaeftigung-entgelt-entgelt/entgelt-d-0-201512-xlsm.xlsm?__blob=publicationFile&amp;v=2</x:v>
      </x:c>
      <x:c r="J90" s="2" t="str">
        <x:v>https://statistik.arbeitsagentur.de/Statistikdaten/Detail/201512/iiia6/beschaeftigung-sozbe-svb-kreise-merkmale/svb-kreise-merkmale-d-0-201512-xlsx.xlsx?__blob=publicationFile&amp;v=1</x:v>
      </x:c>
      <x:c r="K90" s="2" t="str">
        <x:v>https://www.bbsr.bund.de/BBSR/DE/forschung/raumbeobachtung/Raumabgrenzungen/deutschland/regionen/arbeitsmarktregionen/arbeitsmarktregionen-2017.csv?__blob=publicationFile&amp;v=2</x:v>
      </x:c>
    </x:row>
    <x:row r="91" ht="24" customHeight="1">
      <x:c r="A91" s="6" t="str">
        <x:v>05382</x:v>
      </x:c>
      <x:c r="B91" s="2" t="str">
        <x:v>Rhein-Sieg-Kreis</x:v>
      </x:c>
      <x:c r="C91" s="2" t="n">
        <x:v>59</x:v>
      </x:c>
      <x:c r="D91" s="2" t="str">
        <x:v>Bonn</x:v>
      </x:c>
      <x:c r="E91" s="8" t="n">
        <x:v>2964.879514116875</x:v>
      </x:c>
      <x:c r="F91" s="7" t="n">
        <x:v>107604</x:v>
      </x:c>
      <x:c r="G91" s="8" t="n">
        <x:f>E91*F91</x:f>
        <x:v>319032895.2370322</x:v>
      </x:c>
      <x:c r="H91" s="10" t="n">
        <x:f>F91/SUMIF($C$2:$C$403,C91,$F$2:$F$403)</x:f>
        <x:v>0.4707910395519776</x:v>
      </x:c>
      <x:c r="I91" s="2" t="str">
        <x:v>https://statistik.arbeitsagentur.de/Statistikdaten/Detail/201512/iiia6/beschaeftigung-entgelt-entgelt/entgelt-d-0-201512-xlsm.xlsm?__blob=publicationFile&amp;v=2</x:v>
      </x:c>
      <x:c r="J91" s="2" t="str">
        <x:v>https://statistik.arbeitsagentur.de/Statistikdaten/Detail/201512/iiia6/beschaeftigung-sozbe-svb-kreise-merkmale/svb-kreise-merkmale-d-0-201512-xlsx.xlsx?__blob=publicationFile&amp;v=1</x:v>
      </x:c>
      <x:c r="K91" s="2" t="str">
        <x:v>https://www.bbsr.bund.de/BBSR/DE/forschung/raumbeobachtung/Raumabgrenzungen/deutschland/regionen/arbeitsmarktregionen/arbeitsmarktregionen-2017.csv?__blob=publicationFile&amp;v=2</x:v>
      </x:c>
    </x:row>
    <x:row r="92" ht="24" customHeight="1">
      <x:c r="A92" s="6" t="str">
        <x:v>05512</x:v>
      </x:c>
      <x:c r="B92" s="2" t="str">
        <x:v>Bottrop, Stadt</x:v>
      </x:c>
      <x:c r="C92" s="2" t="n">
        <x:v>63</x:v>
      </x:c>
      <x:c r="D92" s="2" t="str">
        <x:v>Gelsenkirchen</x:v>
      </x:c>
      <x:c r="E92" s="8" t="n">
        <x:v>3122.96835443038</x:v>
      </x:c>
      <x:c r="F92" s="7" t="n">
        <x:v>24306</x:v>
      </x:c>
      <x:c r="G92" s="8" t="n">
        <x:f>E92*F92</x:f>
        <x:v>75906868.82278481</x:v>
      </x:c>
      <x:c r="H92" s="10" t="n">
        <x:f>F92/SUMIF($C$2:$C$403,C92,$F$2:$F$403)</x:f>
        <x:v>0.10709328915540556</x:v>
      </x:c>
      <x:c r="I92" s="2" t="str">
        <x:v>https://statistik.arbeitsagentur.de/Statistikdaten/Detail/201512/iiia6/beschaeftigung-entgelt-entgelt/entgelt-d-0-201512-xlsm.xlsm?__blob=publicationFile&amp;v=2</x:v>
      </x:c>
      <x:c r="J92" s="2" t="str">
        <x:v>https://statistik.arbeitsagentur.de/Statistikdaten/Detail/201512/iiia6/beschaeftigung-sozbe-svb-kreise-merkmale/svb-kreise-merkmale-d-0-201512-xlsx.xlsx?__blob=publicationFile&amp;v=1</x:v>
      </x:c>
      <x:c r="K92" s="2" t="str">
        <x:v>https://www.bbsr.bund.de/BBSR/DE/forschung/raumbeobachtung/Raumabgrenzungen/deutschland/regionen/arbeitsmarktregionen/arbeitsmarktregionen-2017.csv?__blob=publicationFile&amp;v=2</x:v>
      </x:c>
    </x:row>
    <x:row r="93" ht="24" customHeight="1">
      <x:c r="A93" s="6" t="str">
        <x:v>05513</x:v>
      </x:c>
      <x:c r="B93" s="2" t="str">
        <x:v>Gelsenkirchen, Stadt</x:v>
      </x:c>
      <x:c r="C93" s="2" t="n">
        <x:v>63</x:v>
      </x:c>
      <x:c r="D93" s="2" t="str">
        <x:v>Gelsenkirchen</x:v>
      </x:c>
      <x:c r="E93" s="8" t="n">
        <x:v>3128.7608695652175</x:v>
      </x:c>
      <x:c r="F93" s="7" t="n">
        <x:v>56590</x:v>
      </x:c>
      <x:c r="G93" s="8" t="n">
        <x:f>E93*F93</x:f>
        <x:v>177056577.60869566</x:v>
      </x:c>
      <x:c r="H93" s="10" t="n">
        <x:f>F93/SUMIF($C$2:$C$403,C93,$F$2:$F$403)</x:f>
        <x:v>0.24933799198981324</x:v>
      </x:c>
      <x:c r="I93" s="2" t="str">
        <x:v>https://statistik.arbeitsagentur.de/Statistikdaten/Detail/201512/iiia6/beschaeftigung-entgelt-entgelt/entgelt-d-0-201512-xlsm.xlsm?__blob=publicationFile&amp;v=2</x:v>
      </x:c>
      <x:c r="J93" s="2" t="str">
        <x:v>https://statistik.arbeitsagentur.de/Statistikdaten/Detail/201512/iiia6/beschaeftigung-sozbe-svb-kreise-merkmale/svb-kreise-merkmale-d-0-201512-xlsx.xlsx?__blob=publicationFile&amp;v=1</x:v>
      </x:c>
      <x:c r="K93" s="2" t="str">
        <x:v>https://www.bbsr.bund.de/BBSR/DE/forschung/raumbeobachtung/Raumabgrenzungen/deutschland/regionen/arbeitsmarktregionen/arbeitsmarktregionen-2017.csv?__blob=publicationFile&amp;v=2</x:v>
      </x:c>
    </x:row>
    <x:row r="94" ht="24" customHeight="1">
      <x:c r="A94" s="6" t="str">
        <x:v>05515</x:v>
      </x:c>
      <x:c r="B94" s="2" t="str">
        <x:v>Münster, Stadt</x:v>
      </x:c>
      <x:c r="C94" s="2" t="n">
        <x:v>64</x:v>
      </x:c>
      <x:c r="D94" s="2" t="str">
        <x:v>Münster</x:v>
      </x:c>
      <x:c r="E94" s="8" t="n">
        <x:v>3295.276785714286</x:v>
      </x:c>
      <x:c r="F94" s="7" t="n">
        <x:v>111454</x:v>
      </x:c>
      <x:c r="G94" s="8" t="n">
        <x:f>E94*F94</x:f>
        <x:v>367271778.875</x:v>
      </x:c>
      <x:c r="H94" s="10" t="n">
        <x:f>F94/SUMIF($C$2:$C$403,C94,$F$2:$F$403)</x:f>
        <x:v>0.49382355026229974</x:v>
      </x:c>
      <x:c r="I94" s="2" t="str">
        <x:v>https://statistik.arbeitsagentur.de/Statistikdaten/Detail/201512/iiia6/beschaeftigung-entgelt-entgelt/entgelt-d-0-201512-xlsm.xlsm?__blob=publicationFile&amp;v=2</x:v>
      </x:c>
      <x:c r="J94" s="2" t="str">
        <x:v>https://statistik.arbeitsagentur.de/Statistikdaten/Detail/201512/iiia6/beschaeftigung-sozbe-svb-kreise-merkmale/svb-kreise-merkmale-d-0-201512-xlsx.xlsx?__blob=publicationFile&amp;v=1</x:v>
      </x:c>
      <x:c r="K94" s="2" t="str">
        <x:v>https://www.bbsr.bund.de/BBSR/DE/forschung/raumbeobachtung/Raumabgrenzungen/deutschland/regionen/arbeitsmarktregionen/arbeitsmarktregionen-2017.csv?__blob=publicationFile&amp;v=2</x:v>
      </x:c>
    </x:row>
    <x:row r="95" ht="24" customHeight="1">
      <x:c r="A95" s="6" t="str">
        <x:v>05554</x:v>
      </x:c>
      <x:c r="B95" s="2" t="str">
        <x:v>Borken</x:v>
      </x:c>
      <x:c r="C95" s="2" t="n">
        <x:v>65</x:v>
      </x:c>
      <x:c r="D95" s="2" t="str">
        <x:v>Borken</x:v>
      </x:c>
      <x:c r="E95" s="8" t="n">
        <x:v>2988.1488865872607</x:v>
      </x:c>
      <x:c r="F95" s="7" t="n">
        <x:v>106235</x:v>
      </x:c>
      <x:c r="G95" s="8" t="n">
        <x:f>E95*F95</x:f>
        <x:v>317445996.9665976</x:v>
      </x:c>
      <x:c r="H95" s="10" t="n">
        <x:f>F95/SUMIF($C$2:$C$403,C95,$F$2:$F$403)</x:f>
        <x:v>1</x:v>
      </x:c>
      <x:c r="I95" s="2" t="str">
        <x:v>https://statistik.arbeitsagentur.de/Statistikdaten/Detail/201512/iiia6/beschaeftigung-entgelt-entgelt/entgelt-d-0-201512-xlsm.xlsm?__blob=publicationFile&amp;v=2</x:v>
      </x:c>
      <x:c r="J95" s="2" t="str">
        <x:v>https://statistik.arbeitsagentur.de/Statistikdaten/Detail/201512/iiia6/beschaeftigung-sozbe-svb-kreise-merkmale/svb-kreise-merkmale-d-0-201512-xlsx.xlsx?__blob=publicationFile&amp;v=1</x:v>
      </x:c>
      <x:c r="K95" s="2" t="str">
        <x:v>https://www.bbsr.bund.de/BBSR/DE/forschung/raumbeobachtung/Raumabgrenzungen/deutschland/regionen/arbeitsmarktregionen/arbeitsmarktregionen-2017.csv?__blob=publicationFile&amp;v=2</x:v>
      </x:c>
    </x:row>
    <x:row r="96" ht="24" customHeight="1">
      <x:c r="A96" s="6" t="str">
        <x:v>05558</x:v>
      </x:c>
      <x:c r="B96" s="2" t="str">
        <x:v>Coesfeld</x:v>
      </x:c>
      <x:c r="C96" s="2" t="n">
        <x:v>64</x:v>
      </x:c>
      <x:c r="D96" s="2" t="str">
        <x:v>Münster</x:v>
      </x:c>
      <x:c r="E96" s="8" t="n">
        <x:v>2869.6545574636725</x:v>
      </x:c>
      <x:c r="F96" s="7" t="n">
        <x:v>47084</x:v>
      </x:c>
      <x:c r="G96" s="8" t="n">
        <x:f>E96*F96</x:f>
        <x:v>135114815.18361956</x:v>
      </x:c>
      <x:c r="H96" s="10" t="n">
        <x:f>F96/SUMIF($C$2:$C$403,C96,$F$2:$F$403)</x:f>
        <x:v>0.20861690060966964</x:v>
      </x:c>
      <x:c r="I96" s="2" t="str">
        <x:v>https://statistik.arbeitsagentur.de/Statistikdaten/Detail/201512/iiia6/beschaeftigung-entgelt-entgelt/entgelt-d-0-201512-xlsm.xlsm?__blob=publicationFile&amp;v=2</x:v>
      </x:c>
      <x:c r="J96" s="2" t="str">
        <x:v>https://statistik.arbeitsagentur.de/Statistikdaten/Detail/201512/iiia6/beschaeftigung-sozbe-svb-kreise-merkmale/svb-kreise-merkmale-d-0-201512-xlsx.xlsx?__blob=publicationFile&amp;v=1</x:v>
      </x:c>
      <x:c r="K96" s="2" t="str">
        <x:v>https://www.bbsr.bund.de/BBSR/DE/forschung/raumbeobachtung/Raumabgrenzungen/deutschland/regionen/arbeitsmarktregionen/arbeitsmarktregionen-2017.csv?__blob=publicationFile&amp;v=2</x:v>
      </x:c>
    </x:row>
    <x:row r="97" ht="24" customHeight="1">
      <x:c r="A97" s="6" t="str">
        <x:v>05562</x:v>
      </x:c>
      <x:c r="B97" s="2" t="str">
        <x:v>Recklinghausen</x:v>
      </x:c>
      <x:c r="C97" s="2" t="n">
        <x:v>63</x:v>
      </x:c>
      <x:c r="D97" s="2" t="str">
        <x:v>Gelsenkirchen</x:v>
      </x:c>
      <x:c r="E97" s="8" t="n">
        <x:v>3022.907291011942</x:v>
      </x:c>
      <x:c r="F97" s="7" t="n">
        <x:v>114520</x:v>
      </x:c>
      <x:c r="G97" s="8" t="n">
        <x:f>E97*F97</x:f>
        <x:v>346183342.9666876</x:v>
      </x:c>
      <x:c r="H97" s="10" t="n">
        <x:f>F97/SUMIF($C$2:$C$403,C97,$F$2:$F$403)</x:f>
        <x:v>0.5045800820405267</x:v>
      </x:c>
      <x:c r="I97" s="2" t="str">
        <x:v>https://statistik.arbeitsagentur.de/Statistikdaten/Detail/201512/iiia6/beschaeftigung-entgelt-entgelt/entgelt-d-0-201512-xlsm.xlsm?__blob=publicationFile&amp;v=2</x:v>
      </x:c>
      <x:c r="J97" s="2" t="str">
        <x:v>https://statistik.arbeitsagentur.de/Statistikdaten/Detail/201512/iiia6/beschaeftigung-sozbe-svb-kreise-merkmale/svb-kreise-merkmale-d-0-201512-xlsx.xlsx?__blob=publicationFile&amp;v=1</x:v>
      </x:c>
      <x:c r="K97" s="2" t="str">
        <x:v>https://www.bbsr.bund.de/BBSR/DE/forschung/raumbeobachtung/Raumabgrenzungen/deutschland/regionen/arbeitsmarktregionen/arbeitsmarktregionen-2017.csv?__blob=publicationFile&amp;v=2</x:v>
      </x:c>
    </x:row>
    <x:row r="98" ht="24" customHeight="1">
      <x:c r="A98" s="6" t="str">
        <x:v>05566</x:v>
      </x:c>
      <x:c r="B98" s="2" t="str">
        <x:v>Steinfurt</x:v>
      </x:c>
      <x:c r="C98" s="2" t="n">
        <x:v>66</x:v>
      </x:c>
      <x:c r="D98" s="2" t="str">
        <x:v>Steinfurt</x:v>
      </x:c>
      <x:c r="E98" s="8" t="n">
        <x:v>2872.867672168469</x:v>
      </x:c>
      <x:c r="F98" s="7" t="n">
        <x:v>109360</x:v>
      </x:c>
      <x:c r="G98" s="8" t="n">
        <x:f>E98*F98</x:f>
        <x:v>314176808.6283438</x:v>
      </x:c>
      <x:c r="H98" s="10" t="n">
        <x:f>F98/SUMIF($C$2:$C$403,C98,$F$2:$F$403)</x:f>
        <x:v>1</x:v>
      </x:c>
      <x:c r="I98" s="2" t="str">
        <x:v>https://statistik.arbeitsagentur.de/Statistikdaten/Detail/201512/iiia6/beschaeftigung-entgelt-entgelt/entgelt-d-0-201512-xlsm.xlsm?__blob=publicationFile&amp;v=2</x:v>
      </x:c>
      <x:c r="J98" s="2" t="str">
        <x:v>https://statistik.arbeitsagentur.de/Statistikdaten/Detail/201512/iiia6/beschaeftigung-sozbe-svb-kreise-merkmale/svb-kreise-merkmale-d-0-201512-xlsx.xlsx?__blob=publicationFile&amp;v=1</x:v>
      </x:c>
      <x:c r="K98" s="2" t="str">
        <x:v>https://www.bbsr.bund.de/BBSR/DE/forschung/raumbeobachtung/Raumabgrenzungen/deutschland/regionen/arbeitsmarktregionen/arbeitsmarktregionen-2017.csv?__blob=publicationFile&amp;v=2</x:v>
      </x:c>
    </x:row>
    <x:row r="99" ht="24" customHeight="1">
      <x:c r="A99" s="6" t="str">
        <x:v>05570</x:v>
      </x:c>
      <x:c r="B99" s="2" t="str">
        <x:v>Warendorf</x:v>
      </x:c>
      <x:c r="C99" s="2" t="n">
        <x:v>64</x:v>
      </x:c>
      <x:c r="D99" s="2" t="str">
        <x:v>Münster</x:v>
      </x:c>
      <x:c r="E99" s="8" t="n">
        <x:v>3096.4821428571427</x:v>
      </x:c>
      <x:c r="F99" s="7" t="n">
        <x:v>67158</x:v>
      </x:c>
      <x:c r="G99" s="8" t="n">
        <x:f>E99*F99</x:f>
        <x:v>207953547.75</x:v>
      </x:c>
      <x:c r="H99" s="10" t="n">
        <x:f>F99/SUMIF($C$2:$C$403,C99,$F$2:$F$403)</x:f>
        <x:v>0.2975595491280306</x:v>
      </x:c>
      <x:c r="I99" s="2" t="str">
        <x:v>https://statistik.arbeitsagentur.de/Statistikdaten/Detail/201512/iiia6/beschaeftigung-entgelt-entgelt/entgelt-d-0-201512-xlsm.xlsm?__blob=publicationFile&amp;v=2</x:v>
      </x:c>
      <x:c r="J99" s="2" t="str">
        <x:v>https://statistik.arbeitsagentur.de/Statistikdaten/Detail/201512/iiia6/beschaeftigung-sozbe-svb-kreise-merkmale/svb-kreise-merkmale-d-0-201512-xlsx.xlsx?__blob=publicationFile&amp;v=1</x:v>
      </x:c>
      <x:c r="K99" s="2" t="str">
        <x:v>https://www.bbsr.bund.de/BBSR/DE/forschung/raumbeobachtung/Raumabgrenzungen/deutschland/regionen/arbeitsmarktregionen/arbeitsmarktregionen-2017.csv?__blob=publicationFile&amp;v=2</x:v>
      </x:c>
    </x:row>
    <x:row r="100" ht="24" customHeight="1">
      <x:c r="A100" s="6" t="str">
        <x:v>05711</x:v>
      </x:c>
      <x:c r="B100" s="2" t="str">
        <x:v>Bielefeld, Stadt</x:v>
      </x:c>
      <x:c r="C100" s="2" t="n">
        <x:v>67</x:v>
      </x:c>
      <x:c r="D100" s="2" t="str">
        <x:v>Bielefeld</x:v>
      </x:c>
      <x:c r="E100" s="8" t="n">
        <x:v>3189.669381107492</x:v>
      </x:c>
      <x:c r="F100" s="7" t="n">
        <x:v>101553</x:v>
      </x:c>
      <x:c r="G100" s="8" t="n">
        <x:f>E100*F100</x:f>
        <x:v>323920494.65960914</x:v>
      </x:c>
      <x:c r="H100" s="10" t="n">
        <x:f>F100/SUMIF($C$2:$C$403,C100,$F$2:$F$403)</x:f>
        <x:v>0.603196759286758</x:v>
      </x:c>
      <x:c r="I100" s="2" t="str">
        <x:v>https://statistik.arbeitsagentur.de/Statistikdaten/Detail/201512/iiia6/beschaeftigung-entgelt-entgelt/entgelt-d-0-201512-xlsm.xlsm?__blob=publicationFile&amp;v=2</x:v>
      </x:c>
      <x:c r="J100" s="2" t="str">
        <x:v>https://statistik.arbeitsagentur.de/Statistikdaten/Detail/201512/iiia6/beschaeftigung-sozbe-svb-kreise-merkmale/svb-kreise-merkmale-d-0-201512-xlsx.xlsx?__blob=publicationFile&amp;v=1</x:v>
      </x:c>
      <x:c r="K100" s="2" t="str">
        <x:v>https://www.bbsr.bund.de/BBSR/DE/forschung/raumbeobachtung/Raumabgrenzungen/deutschland/regionen/arbeitsmarktregionen/arbeitsmarktregionen-2017.csv?__blob=publicationFile&amp;v=2</x:v>
      </x:c>
    </x:row>
    <x:row r="101" ht="24" customHeight="1">
      <x:c r="A101" s="6" t="str">
        <x:v>05754</x:v>
      </x:c>
      <x:c r="B101" s="2" t="str">
        <x:v>Gütersloh</x:v>
      </x:c>
      <x:c r="C101" s="2" t="n">
        <x:v>68</x:v>
      </x:c>
      <x:c r="D101" s="2" t="str">
        <x:v>Gütersloh</x:v>
      </x:c>
      <x:c r="E101" s="8" t="n">
        <x:v>3069.289534215066</x:v>
      </x:c>
      <x:c r="F101" s="7" t="n">
        <x:v>128342</x:v>
      </x:c>
      <x:c r="G101" s="8" t="n">
        <x:f>E101*F101</x:f>
        <x:v>393918757.40023</x:v>
      </x:c>
      <x:c r="H101" s="10" t="n">
        <x:f>F101/SUMIF($C$2:$C$403,C101,$F$2:$F$403)</x:f>
        <x:v>1</x:v>
      </x:c>
      <x:c r="I101" s="2" t="str">
        <x:v>https://statistik.arbeitsagentur.de/Statistikdaten/Detail/201512/iiia6/beschaeftigung-entgelt-entgelt/entgelt-d-0-201512-xlsm.xlsm?__blob=publicationFile&amp;v=2</x:v>
      </x:c>
      <x:c r="J101" s="2" t="str">
        <x:v>https://statistik.arbeitsagentur.de/Statistikdaten/Detail/201512/iiia6/beschaeftigung-sozbe-svb-kreise-merkmale/svb-kreise-merkmale-d-0-201512-xlsx.xlsx?__blob=publicationFile&amp;v=1</x:v>
      </x:c>
      <x:c r="K101" s="2" t="str">
        <x:v>https://www.bbsr.bund.de/BBSR/DE/forschung/raumbeobachtung/Raumabgrenzungen/deutschland/regionen/arbeitsmarktregionen/arbeitsmarktregionen-2017.csv?__blob=publicationFile&amp;v=2</x:v>
      </x:c>
    </x:row>
    <x:row r="102" ht="24" customHeight="1">
      <x:c r="A102" s="6" t="str">
        <x:v>05758</x:v>
      </x:c>
      <x:c r="B102" s="2" t="str">
        <x:v>Herford</x:v>
      </x:c>
      <x:c r="C102" s="2" t="n">
        <x:v>67</x:v>
      </x:c>
      <x:c r="D102" s="2" t="str">
        <x:v>Bielefeld</x:v>
      </x:c>
      <x:c r="E102" s="8" t="n">
        <x:v>2951.472590627763</x:v>
      </x:c>
      <x:c r="F102" s="7" t="n">
        <x:v>66805</x:v>
      </x:c>
      <x:c r="G102" s="8" t="n">
        <x:f>E102*F102</x:f>
        <x:v>197173126.4168877</x:v>
      </x:c>
      <x:c r="H102" s="10" t="n">
        <x:f>F102/SUMIF($C$2:$C$403,C102,$F$2:$F$403)</x:f>
        <x:v>0.396803240713242</x:v>
      </x:c>
      <x:c r="I102" s="2" t="str">
        <x:v>https://statistik.arbeitsagentur.de/Statistikdaten/Detail/201512/iiia6/beschaeftigung-entgelt-entgelt/entgelt-d-0-201512-xlsm.xlsm?__blob=publicationFile&amp;v=2</x:v>
      </x:c>
      <x:c r="J102" s="2" t="str">
        <x:v>https://statistik.arbeitsagentur.de/Statistikdaten/Detail/201512/iiia6/beschaeftigung-sozbe-svb-kreise-merkmale/svb-kreise-merkmale-d-0-201512-xlsx.xlsx?__blob=publicationFile&amp;v=1</x:v>
      </x:c>
      <x:c r="K102" s="2" t="str">
        <x:v>https://www.bbsr.bund.de/BBSR/DE/forschung/raumbeobachtung/Raumabgrenzungen/deutschland/regionen/arbeitsmarktregionen/arbeitsmarktregionen-2017.csv?__blob=publicationFile&amp;v=2</x:v>
      </x:c>
    </x:row>
    <x:row r="103" ht="24" customHeight="1">
      <x:c r="A103" s="6" t="str">
        <x:v>05762</x:v>
      </x:c>
      <x:c r="B103" s="2" t="str">
        <x:v>Höxter</x:v>
      </x:c>
      <x:c r="C103" s="2" t="n">
        <x:v>44</x:v>
      </x:c>
      <x:c r="D103" s="2" t="str">
        <x:v>Höxter</x:v>
      </x:c>
      <x:c r="E103" s="8" t="n">
        <x:v>2809.3541666666665</x:v>
      </x:c>
      <x:c r="F103" s="7" t="n">
        <x:v>30766</x:v>
      </x:c>
      <x:c r="G103" s="8" t="n">
        <x:f>E103*F103</x:f>
        <x:v>86432590.29166666</x:v>
      </x:c>
      <x:c r="H103" s="10" t="n">
        <x:f>F103/SUMIF($C$2:$C$403,C103,$F$2:$F$403)</x:f>
        <x:v>1</x:v>
      </x:c>
      <x:c r="I103" s="2" t="str">
        <x:v>https://statistik.arbeitsagentur.de/Statistikdaten/Detail/201512/iiia6/beschaeftigung-entgelt-entgelt/entgelt-d-0-201512-xlsm.xlsm?__blob=publicationFile&amp;v=2</x:v>
      </x:c>
      <x:c r="J103" s="2" t="str">
        <x:v>https://statistik.arbeitsagentur.de/Statistikdaten/Detail/201512/iiia6/beschaeftigung-sozbe-svb-kreise-merkmale/svb-kreise-merkmale-d-0-201512-xlsx.xlsx?__blob=publicationFile&amp;v=1</x:v>
      </x:c>
      <x:c r="K103" s="2" t="str">
        <x:v>https://www.bbsr.bund.de/BBSR/DE/forschung/raumbeobachtung/Raumabgrenzungen/deutschland/regionen/arbeitsmarktregionen/arbeitsmarktregionen-2017.csv?__blob=publicationFile&amp;v=2</x:v>
      </x:c>
    </x:row>
    <x:row r="104" ht="24" customHeight="1">
      <x:c r="A104" s="6" t="str">
        <x:v>05766</x:v>
      </x:c>
      <x:c r="B104" s="2" t="str">
        <x:v>Lippe</x:v>
      </x:c>
      <x:c r="C104" s="2" t="n">
        <x:v>69</x:v>
      </x:c>
      <x:c r="D104" s="2" t="str">
        <x:v>Detmold</x:v>
      </x:c>
      <x:c r="E104" s="8" t="n">
        <x:v>3054.8365307753797</x:v>
      </x:c>
      <x:c r="F104" s="7" t="n">
        <x:v>78608</x:v>
      </x:c>
      <x:c r="G104" s="8" t="n">
        <x:f>E104*F104</x:f>
        <x:v>240134590.01119104</x:v>
      </x:c>
      <x:c r="H104" s="10" t="n">
        <x:f>F104/SUMIF($C$2:$C$403,C104,$F$2:$F$403)</x:f>
        <x:v>1</x:v>
      </x:c>
      <x:c r="I104" s="2" t="str">
        <x:v>https://statistik.arbeitsagentur.de/Statistikdaten/Detail/201512/iiia6/beschaeftigung-entgelt-entgelt/entgelt-d-0-201512-xlsm.xlsm?__blob=publicationFile&amp;v=2</x:v>
      </x:c>
      <x:c r="J104" s="2" t="str">
        <x:v>https://statistik.arbeitsagentur.de/Statistikdaten/Detail/201512/iiia6/beschaeftigung-sozbe-svb-kreise-merkmale/svb-kreise-merkmale-d-0-201512-xlsx.xlsx?__blob=publicationFile&amp;v=1</x:v>
      </x:c>
      <x:c r="K104" s="2" t="str">
        <x:v>https://www.bbsr.bund.de/BBSR/DE/forschung/raumbeobachtung/Raumabgrenzungen/deutschland/regionen/arbeitsmarktregionen/arbeitsmarktregionen-2017.csv?__blob=publicationFile&amp;v=2</x:v>
      </x:c>
    </x:row>
    <x:row r="105" ht="24" customHeight="1">
      <x:c r="A105" s="6" t="str">
        <x:v>05770</x:v>
      </x:c>
      <x:c r="B105" s="2" t="str">
        <x:v>Minden-Lübbecke</x:v>
      </x:c>
      <x:c r="C105" s="2" t="n">
        <x:v>70</x:v>
      </x:c>
      <x:c r="D105" s="2" t="str">
        <x:v>Minden</x:v>
      </x:c>
      <x:c r="E105" s="8" t="n">
        <x:v>2965.6809210526317</x:v>
      </x:c>
      <x:c r="F105" s="7" t="n">
        <x:v>90469</x:v>
      </x:c>
      <x:c r="G105" s="8" t="n">
        <x:f>E105*F105</x:f>
        <x:v>268302187.24671054</x:v>
      </x:c>
      <x:c r="H105" s="10" t="n">
        <x:f>F105/SUMIF($C$2:$C$403,C105,$F$2:$F$403)</x:f>
        <x:v>1</x:v>
      </x:c>
      <x:c r="I105" s="2" t="str">
        <x:v>https://statistik.arbeitsagentur.de/Statistikdaten/Detail/201512/iiia6/beschaeftigung-entgelt-entgelt/entgelt-d-0-201512-xlsm.xlsm?__blob=publicationFile&amp;v=2</x:v>
      </x:c>
      <x:c r="J105" s="2" t="str">
        <x:v>https://statistik.arbeitsagentur.de/Statistikdaten/Detail/201512/iiia6/beschaeftigung-sozbe-svb-kreise-merkmale/svb-kreise-merkmale-d-0-201512-xlsx.xlsx?__blob=publicationFile&amp;v=1</x:v>
      </x:c>
      <x:c r="K105" s="2" t="str">
        <x:v>https://www.bbsr.bund.de/BBSR/DE/forschung/raumbeobachtung/Raumabgrenzungen/deutschland/regionen/arbeitsmarktregionen/arbeitsmarktregionen-2017.csv?__blob=publicationFile&amp;v=2</x:v>
      </x:c>
    </x:row>
    <x:row r="106" ht="24" customHeight="1">
      <x:c r="A106" s="6" t="str">
        <x:v>05774</x:v>
      </x:c>
      <x:c r="B106" s="2" t="str">
        <x:v>Paderborn</x:v>
      </x:c>
      <x:c r="C106" s="2" t="n">
        <x:v>71</x:v>
      </x:c>
      <x:c r="D106" s="2" t="str">
        <x:v>Paderborn</x:v>
      </x:c>
      <x:c r="E106" s="8" t="n">
        <x:v>2974.3992379339543</x:v>
      </x:c>
      <x:c r="F106" s="7" t="n">
        <x:v>83209</x:v>
      </x:c>
      <x:c r="G106" s="8" t="n">
        <x:f>E106*F106</x:f>
        <x:v>247496786.18924642</x:v>
      </x:c>
      <x:c r="H106" s="10" t="n">
        <x:f>F106/SUMIF($C$2:$C$403,C106,$F$2:$F$403)</x:f>
        <x:v>1</x:v>
      </x:c>
      <x:c r="I106" s="2" t="str">
        <x:v>https://statistik.arbeitsagentur.de/Statistikdaten/Detail/201512/iiia6/beschaeftigung-entgelt-entgelt/entgelt-d-0-201512-xlsm.xlsm?__blob=publicationFile&amp;v=2</x:v>
      </x:c>
      <x:c r="J106" s="2" t="str">
        <x:v>https://statistik.arbeitsagentur.de/Statistikdaten/Detail/201512/iiia6/beschaeftigung-sozbe-svb-kreise-merkmale/svb-kreise-merkmale-d-0-201512-xlsx.xlsx?__blob=publicationFile&amp;v=1</x:v>
      </x:c>
      <x:c r="K106" s="2" t="str">
        <x:v>https://www.bbsr.bund.de/BBSR/DE/forschung/raumbeobachtung/Raumabgrenzungen/deutschland/regionen/arbeitsmarktregionen/arbeitsmarktregionen-2017.csv?__blob=publicationFile&amp;v=2</x:v>
      </x:c>
    </x:row>
    <x:row r="107" ht="24" customHeight="1">
      <x:c r="A107" s="6" t="str">
        <x:v>05911</x:v>
      </x:c>
      <x:c r="B107" s="2" t="str">
        <x:v>Bochum, Stadt</x:v>
      </x:c>
      <x:c r="C107" s="2" t="n">
        <x:v>72</x:v>
      </x:c>
      <x:c r="D107" s="2" t="str">
        <x:v>Bochum</x:v>
      </x:c>
      <x:c r="E107" s="8" t="n">
        <x:v>3171.39552238806</x:v>
      </x:c>
      <x:c r="F107" s="7" t="n">
        <x:v>88968</x:v>
      </x:c>
      <x:c r="G107" s="8" t="n">
        <x:f>E107*F107</x:f>
        <x:v>282152716.8358209</x:v>
      </x:c>
      <x:c r="H107" s="10" t="n">
        <x:f>F107/SUMIF($C$2:$C$403,C107,$F$2:$F$403)</x:f>
        <x:v>1</x:v>
      </x:c>
      <x:c r="I107" s="2" t="str">
        <x:v>https://statistik.arbeitsagentur.de/Statistikdaten/Detail/201512/iiia6/beschaeftigung-entgelt-entgelt/entgelt-d-0-201512-xlsm.xlsm?__blob=publicationFile&amp;v=2</x:v>
      </x:c>
      <x:c r="J107" s="2" t="str">
        <x:v>https://statistik.arbeitsagentur.de/Statistikdaten/Detail/201512/iiia6/beschaeftigung-sozbe-svb-kreise-merkmale/svb-kreise-merkmale-d-0-201512-xlsx.xlsx?__blob=publicationFile&amp;v=1</x:v>
      </x:c>
      <x:c r="K107" s="2" t="str">
        <x:v>https://www.bbsr.bund.de/BBSR/DE/forschung/raumbeobachtung/Raumabgrenzungen/deutschland/regionen/arbeitsmarktregionen/arbeitsmarktregionen-2017.csv?__blob=publicationFile&amp;v=2</x:v>
      </x:c>
    </x:row>
    <x:row r="108" ht="24" customHeight="1">
      <x:c r="A108" s="6" t="str">
        <x:v>05913</x:v>
      </x:c>
      <x:c r="B108" s="2" t="str">
        <x:v>Dortmund, Stadt</x:v>
      </x:c>
      <x:c r="C108" s="2" t="n">
        <x:v>73</x:v>
      </x:c>
      <x:c r="D108" s="2" t="str">
        <x:v>Dortmund</x:v>
      </x:c>
      <x:c r="E108" s="8" t="n">
        <x:v>3234.114864864865</x:v>
      </x:c>
      <x:c r="F108" s="7" t="n">
        <x:v>162633</x:v>
      </x:c>
      <x:c r="G108" s="8" t="n">
        <x:f>E108*F108</x:f>
        <x:v>525973802.8175676</x:v>
      </x:c>
      <x:c r="H108" s="10" t="n">
        <x:f>F108/SUMIF($C$2:$C$403,C108,$F$2:$F$403)</x:f>
        <x:v>0.5523468278766472</x:v>
      </x:c>
      <x:c r="I108" s="2" t="str">
        <x:v>https://statistik.arbeitsagentur.de/Statistikdaten/Detail/201512/iiia6/beschaeftigung-entgelt-entgelt/entgelt-d-0-201512-xlsm.xlsm?__blob=publicationFile&amp;v=2</x:v>
      </x:c>
      <x:c r="J108" s="2" t="str">
        <x:v>https://statistik.arbeitsagentur.de/Statistikdaten/Detail/201512/iiia6/beschaeftigung-sozbe-svb-kreise-merkmale/svb-kreise-merkmale-d-0-201512-xlsx.xlsx?__blob=publicationFile&amp;v=1</x:v>
      </x:c>
      <x:c r="K108" s="2" t="str">
        <x:v>https://www.bbsr.bund.de/BBSR/DE/forschung/raumbeobachtung/Raumabgrenzungen/deutschland/regionen/arbeitsmarktregionen/arbeitsmarktregionen-2017.csv?__blob=publicationFile&amp;v=2</x:v>
      </x:c>
    </x:row>
    <x:row r="109" ht="24" customHeight="1">
      <x:c r="A109" s="6" t="str">
        <x:v>05914</x:v>
      </x:c>
      <x:c r="B109" s="2" t="str">
        <x:v>Hagen, Stadt der FernUniversi.</x:v>
      </x:c>
      <x:c r="C109" s="2" t="n">
        <x:v>74</x:v>
      </x:c>
      <x:c r="D109" s="2" t="str">
        <x:v>Hagen</x:v>
      </x:c>
      <x:c r="E109" s="8" t="n">
        <x:v>3184.354907539118</x:v>
      </x:c>
      <x:c r="F109" s="7" t="n">
        <x:v>51170</x:v>
      </x:c>
      <x:c r="G109" s="8" t="n">
        <x:f>E109*F109</x:f>
        <x:v>162943440.61877665</x:v>
      </x:c>
      <x:c r="H109" s="10" t="n">
        <x:f>F109/SUMIF($C$2:$C$403,C109,$F$2:$F$403)</x:f>
        <x:v>1</x:v>
      </x:c>
      <x:c r="I109" s="2" t="str">
        <x:v>https://statistik.arbeitsagentur.de/Statistikdaten/Detail/201512/iiia6/beschaeftigung-entgelt-entgelt/entgelt-d-0-201512-xlsm.xlsm?__blob=publicationFile&amp;v=2</x:v>
      </x:c>
      <x:c r="J109" s="2" t="str">
        <x:v>https://statistik.arbeitsagentur.de/Statistikdaten/Detail/201512/iiia6/beschaeftigung-sozbe-svb-kreise-merkmale/svb-kreise-merkmale-d-0-201512-xlsx.xlsx?__blob=publicationFile&amp;v=1</x:v>
      </x:c>
      <x:c r="K109" s="2" t="str">
        <x:v>https://www.bbsr.bund.de/BBSR/DE/forschung/raumbeobachtung/Raumabgrenzungen/deutschland/regionen/arbeitsmarktregionen/arbeitsmarktregionen-2017.csv?__blob=publicationFile&amp;v=2</x:v>
      </x:c>
    </x:row>
    <x:row r="110" ht="24" customHeight="1">
      <x:c r="A110" s="6" t="str">
        <x:v>05915</x:v>
      </x:c>
      <x:c r="B110" s="2" t="str">
        <x:v>Hamm, Stadt</x:v>
      </x:c>
      <x:c r="C110" s="2" t="n">
        <x:v>73</x:v>
      </x:c>
      <x:c r="D110" s="2" t="str">
        <x:v>Dortmund</x:v>
      </x:c>
      <x:c r="E110" s="8" t="n">
        <x:v>2941.5815939278937</x:v>
      </x:c>
      <x:c r="F110" s="7" t="n">
        <x:v>40173</x:v>
      </x:c>
      <x:c r="G110" s="8" t="n">
        <x:f>E110*F110</x:f>
        <x:v>118172157.37286527</x:v>
      </x:c>
      <x:c r="H110" s="10" t="n">
        <x:f>F110/SUMIF($C$2:$C$403,C110,$F$2:$F$403)</x:f>
        <x:v>0.13643866322510528</x:v>
      </x:c>
      <x:c r="I110" s="2" t="str">
        <x:v>https://statistik.arbeitsagentur.de/Statistikdaten/Detail/201512/iiia6/beschaeftigung-entgelt-entgelt/entgelt-d-0-201512-xlsm.xlsm?__blob=publicationFile&amp;v=2</x:v>
      </x:c>
      <x:c r="J110" s="2" t="str">
        <x:v>https://statistik.arbeitsagentur.de/Statistikdaten/Detail/201512/iiia6/beschaeftigung-sozbe-svb-kreise-merkmale/svb-kreise-merkmale-d-0-201512-xlsx.xlsx?__blob=publicationFile&amp;v=1</x:v>
      </x:c>
      <x:c r="K110" s="2" t="str">
        <x:v>https://www.bbsr.bund.de/BBSR/DE/forschung/raumbeobachtung/Raumabgrenzungen/deutschland/regionen/arbeitsmarktregionen/arbeitsmarktregionen-2017.csv?__blob=publicationFile&amp;v=2</x:v>
      </x:c>
    </x:row>
    <x:row r="111" ht="24" customHeight="1">
      <x:c r="A111" s="6" t="str">
        <x:v>05916</x:v>
      </x:c>
      <x:c r="B111" s="2" t="str">
        <x:v>Herne, Stadt</x:v>
      </x:c>
      <x:c r="C111" s="2" t="n">
        <x:v>63</x:v>
      </x:c>
      <x:c r="D111" s="2" t="str">
        <x:v>Gelsenkirchen</x:v>
      </x:c>
      <x:c r="E111" s="8" t="n">
        <x:v>3177.453125</x:v>
      </x:c>
      <x:c r="F111" s="7" t="n">
        <x:v>31545</x:v>
      </x:c>
      <x:c r="G111" s="8" t="n">
        <x:f>E111*F111</x:f>
        <x:v>100232758.828125</x:v>
      </x:c>
      <x:c r="H111" s="10" t="n">
        <x:f>F111/SUMIF($C$2:$C$403,C111,$F$2:$F$403)</x:f>
        <x:v>0.13898863681425444</x:v>
      </x:c>
      <x:c r="I111" s="2" t="str">
        <x:v>https://statistik.arbeitsagentur.de/Statistikdaten/Detail/201512/iiia6/beschaeftigung-entgelt-entgelt/entgelt-d-0-201512-xlsm.xlsm?__blob=publicationFile&amp;v=2</x:v>
      </x:c>
      <x:c r="J111" s="2" t="str">
        <x:v>https://statistik.arbeitsagentur.de/Statistikdaten/Detail/201512/iiia6/beschaeftigung-sozbe-svb-kreise-merkmale/svb-kreise-merkmale-d-0-201512-xlsx.xlsx?__blob=publicationFile&amp;v=1</x:v>
      </x:c>
      <x:c r="K111" s="2" t="str">
        <x:v>https://www.bbsr.bund.de/BBSR/DE/forschung/raumbeobachtung/Raumabgrenzungen/deutschland/regionen/arbeitsmarktregionen/arbeitsmarktregionen-2017.csv?__blob=publicationFile&amp;v=2</x:v>
      </x:c>
    </x:row>
    <x:row r="112" ht="24" customHeight="1">
      <x:c r="A112" s="6" t="str">
        <x:v>05954</x:v>
      </x:c>
      <x:c r="B112" s="2" t="str">
        <x:v>Ennepe-Ruhr-Kreis</x:v>
      </x:c>
      <x:c r="C112" s="2" t="n">
        <x:v>53</x:v>
      </x:c>
      <x:c r="D112" s="2" t="str">
        <x:v>Schwelm</x:v>
      </x:c>
      <x:c r="E112" s="8" t="n">
        <x:v>3159.5444444444443</x:v>
      </x:c>
      <x:c r="F112" s="7" t="n">
        <x:v>77944</x:v>
      </x:c>
      <x:c r="G112" s="8" t="n">
        <x:f>E112*F112</x:f>
        <x:v>246267532.17777777</x:v>
      </x:c>
      <x:c r="H112" s="10" t="n">
        <x:f>F112/SUMIF($C$2:$C$403,C112,$F$2:$F$403)</x:f>
        <x:v>1</x:v>
      </x:c>
      <x:c r="I112" s="2" t="str">
        <x:v>https://statistik.arbeitsagentur.de/Statistikdaten/Detail/201512/iiia6/beschaeftigung-entgelt-entgelt/entgelt-d-0-201512-xlsm.xlsm?__blob=publicationFile&amp;v=2</x:v>
      </x:c>
      <x:c r="J112" s="2" t="str">
        <x:v>https://statistik.arbeitsagentur.de/Statistikdaten/Detail/201512/iiia6/beschaeftigung-sozbe-svb-kreise-merkmale/svb-kreise-merkmale-d-0-201512-xlsx.xlsx?__blob=publicationFile&amp;v=1</x:v>
      </x:c>
      <x:c r="K112" s="2" t="str">
        <x:v>https://www.bbsr.bund.de/BBSR/DE/forschung/raumbeobachtung/Raumabgrenzungen/deutschland/regionen/arbeitsmarktregionen/arbeitsmarktregionen-2017.csv?__blob=publicationFile&amp;v=2</x:v>
      </x:c>
    </x:row>
    <x:row r="113" ht="24" customHeight="1">
      <x:c r="A113" s="6" t="str">
        <x:v>05958</x:v>
      </x:c>
      <x:c r="B113" s="2" t="str">
        <x:v>Hochsauerlandkreis</x:v>
      </x:c>
      <x:c r="C113" s="2" t="n">
        <x:v>76</x:v>
      </x:c>
      <x:c r="D113" s="2" t="str">
        <x:v>Meschede</x:v>
      </x:c>
      <x:c r="E113" s="8" t="n">
        <x:v>3063.537634408602</x:v>
      </x:c>
      <x:c r="F113" s="7" t="n">
        <x:v>76092</x:v>
      </x:c>
      <x:c r="G113" s="8" t="n">
        <x:f>E113*F113</x:f>
        <x:v>233110705.67741936</x:v>
      </x:c>
      <x:c r="H113" s="10" t="n">
        <x:f>F113/SUMIF($C$2:$C$403,C113,$F$2:$F$403)</x:f>
        <x:v>1</x:v>
      </x:c>
      <x:c r="I113" s="2" t="str">
        <x:v>https://statistik.arbeitsagentur.de/Statistikdaten/Detail/201512/iiia6/beschaeftigung-entgelt-entgelt/entgelt-d-0-201512-xlsm.xlsm?__blob=publicationFile&amp;v=2</x:v>
      </x:c>
      <x:c r="J113" s="2" t="str">
        <x:v>https://statistik.arbeitsagentur.de/Statistikdaten/Detail/201512/iiia6/beschaeftigung-sozbe-svb-kreise-merkmale/svb-kreise-merkmale-d-0-201512-xlsx.xlsx?__blob=publicationFile&amp;v=1</x:v>
      </x:c>
      <x:c r="K113" s="2" t="str">
        <x:v>https://www.bbsr.bund.de/BBSR/DE/forschung/raumbeobachtung/Raumabgrenzungen/deutschland/regionen/arbeitsmarktregionen/arbeitsmarktregionen-2017.csv?__blob=publicationFile&amp;v=2</x:v>
      </x:c>
    </x:row>
    <x:row r="114" ht="24" customHeight="1">
      <x:c r="A114" s="6" t="str">
        <x:v>05962</x:v>
      </x:c>
      <x:c r="B114" s="2" t="str">
        <x:v>Märkischer Kreis</x:v>
      </x:c>
      <x:c r="C114" s="2" t="n">
        <x:v>75</x:v>
      </x:c>
      <x:c r="D114" s="2" t="str">
        <x:v>Lüdenscheid</x:v>
      </x:c>
      <x:c r="E114" s="8" t="n">
        <x:v>3188.709843158464</x:v>
      </x:c>
      <x:c r="F114" s="7" t="n">
        <x:v>125107</x:v>
      </x:c>
      <x:c r="G114" s="8" t="n">
        <x:f>E114*F114</x:f>
        <x:v>398929922.348026</x:v>
      </x:c>
      <x:c r="H114" s="10" t="n">
        <x:f>F114/SUMIF($C$2:$C$403,C114,$F$2:$F$403)</x:f>
        <x:v>1</x:v>
      </x:c>
      <x:c r="I114" s="2" t="str">
        <x:v>https://statistik.arbeitsagentur.de/Statistikdaten/Detail/201512/iiia6/beschaeftigung-entgelt-entgelt/entgelt-d-0-201512-xlsm.xlsm?__blob=publicationFile&amp;v=2</x:v>
      </x:c>
      <x:c r="J114" s="2" t="str">
        <x:v>https://statistik.arbeitsagentur.de/Statistikdaten/Detail/201512/iiia6/beschaeftigung-sozbe-svb-kreise-merkmale/svb-kreise-merkmale-d-0-201512-xlsx.xlsx?__blob=publicationFile&amp;v=1</x:v>
      </x:c>
      <x:c r="K114" s="2" t="str">
        <x:v>https://www.bbsr.bund.de/BBSR/DE/forschung/raumbeobachtung/Raumabgrenzungen/deutschland/regionen/arbeitsmarktregionen/arbeitsmarktregionen-2017.csv?__blob=publicationFile&amp;v=2</x:v>
      </x:c>
    </x:row>
    <x:row r="115" ht="24" customHeight="1">
      <x:c r="A115" s="6" t="str">
        <x:v>05966</x:v>
      </x:c>
      <x:c r="B115" s="2" t="str">
        <x:v>Olpe</x:v>
      </x:c>
      <x:c r="C115" s="2" t="n">
        <x:v>78</x:v>
      </x:c>
      <x:c r="D115" s="2" t="str">
        <x:v>Olpe</x:v>
      </x:c>
      <x:c r="E115" s="8" t="n">
        <x:v>3170.461489088575</x:v>
      </x:c>
      <x:c r="F115" s="7" t="n">
        <x:v>44337</x:v>
      </x:c>
      <x:c r="G115" s="8" t="n">
        <x:f>E115*F115</x:f>
        <x:v>140568751.04172015</x:v>
      </x:c>
      <x:c r="H115" s="10" t="n">
        <x:f>F115/SUMIF($C$2:$C$403,C115,$F$2:$F$403)</x:f>
        <x:v>1</x:v>
      </x:c>
      <x:c r="I115" s="2" t="str">
        <x:v>https://statistik.arbeitsagentur.de/Statistikdaten/Detail/201512/iiia6/beschaeftigung-entgelt-entgelt/entgelt-d-0-201512-xlsm.xlsm?__blob=publicationFile&amp;v=2</x:v>
      </x:c>
      <x:c r="J115" s="2" t="str">
        <x:v>https://statistik.arbeitsagentur.de/Statistikdaten/Detail/201512/iiia6/beschaeftigung-sozbe-svb-kreise-merkmale/svb-kreise-merkmale-d-0-201512-xlsx.xlsx?__blob=publicationFile&amp;v=1</x:v>
      </x:c>
      <x:c r="K115" s="2" t="str">
        <x:v>https://www.bbsr.bund.de/BBSR/DE/forschung/raumbeobachtung/Raumabgrenzungen/deutschland/regionen/arbeitsmarktregionen/arbeitsmarktregionen-2017.csv?__blob=publicationFile&amp;v=2</x:v>
      </x:c>
    </x:row>
    <x:row r="116" ht="24" customHeight="1">
      <x:c r="A116" s="6" t="str">
        <x:v>05970</x:v>
      </x:c>
      <x:c r="B116" s="2" t="str">
        <x:v>Siegen-Wittgenstein</x:v>
      </x:c>
      <x:c r="C116" s="2" t="n">
        <x:v>77</x:v>
      </x:c>
      <x:c r="D116" s="2" t="str">
        <x:v>Siegen</x:v>
      </x:c>
      <x:c r="E116" s="8" t="n">
        <x:v>3304.2429943955162</x:v>
      </x:c>
      <x:c r="F116" s="7" t="n">
        <x:v>86464</x:v>
      </x:c>
      <x:c r="G116" s="8" t="n">
        <x:f>E116*F116</x:f>
        <x:v>285698066.2674139</x:v>
      </x:c>
      <x:c r="H116" s="10" t="n">
        <x:f>F116/SUMIF($C$2:$C$403,C116,$F$2:$F$403)</x:f>
        <x:v>1</x:v>
      </x:c>
      <x:c r="I116" s="2" t="str">
        <x:v>https://statistik.arbeitsagentur.de/Statistikdaten/Detail/201512/iiia6/beschaeftigung-entgelt-entgelt/entgelt-d-0-201512-xlsm.xlsm?__blob=publicationFile&amp;v=2</x:v>
      </x:c>
      <x:c r="J116" s="2" t="str">
        <x:v>https://statistik.arbeitsagentur.de/Statistikdaten/Detail/201512/iiia6/beschaeftigung-sozbe-svb-kreise-merkmale/svb-kreise-merkmale-d-0-201512-xlsx.xlsx?__blob=publicationFile&amp;v=1</x:v>
      </x:c>
      <x:c r="K116" s="2" t="str">
        <x:v>https://www.bbsr.bund.de/BBSR/DE/forschung/raumbeobachtung/Raumabgrenzungen/deutschland/regionen/arbeitsmarktregionen/arbeitsmarktregionen-2017.csv?__blob=publicationFile&amp;v=2</x:v>
      </x:c>
    </x:row>
    <x:row r="117" ht="24" customHeight="1">
      <x:c r="A117" s="6" t="str">
        <x:v>05974</x:v>
      </x:c>
      <x:c r="B117" s="2" t="str">
        <x:v>Soest</x:v>
      </x:c>
      <x:c r="C117" s="2" t="n">
        <x:v>79</x:v>
      </x:c>
      <x:c r="D117" s="2" t="str">
        <x:v>Soest</x:v>
      </x:c>
      <x:c r="E117" s="8" t="n">
        <x:v>3043.509581881533</x:v>
      </x:c>
      <x:c r="F117" s="7" t="n">
        <x:v>80999</x:v>
      </x:c>
      <x:c r="G117" s="8" t="n">
        <x:f>E117*F117</x:f>
        <x:v>246521232.62282228</x:v>
      </x:c>
      <x:c r="H117" s="10" t="n">
        <x:f>F117/SUMIF($C$2:$C$403,C117,$F$2:$F$403)</x:f>
        <x:v>1</x:v>
      </x:c>
      <x:c r="I117" s="2" t="str">
        <x:v>https://statistik.arbeitsagentur.de/Statistikdaten/Detail/201512/iiia6/beschaeftigung-entgelt-entgelt/entgelt-d-0-201512-xlsm.xlsm?__blob=publicationFile&amp;v=2</x:v>
      </x:c>
      <x:c r="J117" s="2" t="str">
        <x:v>https://statistik.arbeitsagentur.de/Statistikdaten/Detail/201512/iiia6/beschaeftigung-sozbe-svb-kreise-merkmale/svb-kreise-merkmale-d-0-201512-xlsx.xlsx?__blob=publicationFile&amp;v=1</x:v>
      </x:c>
      <x:c r="K117" s="2" t="str">
        <x:v>https://www.bbsr.bund.de/BBSR/DE/forschung/raumbeobachtung/Raumabgrenzungen/deutschland/regionen/arbeitsmarktregionen/arbeitsmarktregionen-2017.csv?__blob=publicationFile&amp;v=2</x:v>
      </x:c>
    </x:row>
    <x:row r="118" ht="24" customHeight="1">
      <x:c r="A118" s="6" t="str">
        <x:v>05978</x:v>
      </x:c>
      <x:c r="B118" s="2" t="str">
        <x:v>Unna</x:v>
      </x:c>
      <x:c r="C118" s="2" t="n">
        <x:v>73</x:v>
      </x:c>
      <x:c r="D118" s="2" t="str">
        <x:v>Dortmund</x:v>
      </x:c>
      <x:c r="E118" s="8" t="n">
        <x:v>2860.623614663257</x:v>
      </x:c>
      <x:c r="F118" s="7" t="n">
        <x:v>91634</x:v>
      </x:c>
      <x:c r="G118" s="8" t="n">
        <x:f>E118*F118</x:f>
        <x:v>262130384.30605286</x:v>
      </x:c>
      <x:c r="H118" s="10" t="n">
        <x:f>F118/SUMIF($C$2:$C$403,C118,$F$2:$F$403)</x:f>
        <x:v>0.31121450889824753</x:v>
      </x:c>
      <x:c r="I118" s="2" t="str">
        <x:v>https://statistik.arbeitsagentur.de/Statistikdaten/Detail/201512/iiia6/beschaeftigung-entgelt-entgelt/entgelt-d-0-201512-xlsm.xlsm?__blob=publicationFile&amp;v=2</x:v>
      </x:c>
      <x:c r="J118" s="2" t="str">
        <x:v>https://statistik.arbeitsagentur.de/Statistikdaten/Detail/201512/iiia6/beschaeftigung-sozbe-svb-kreise-merkmale/svb-kreise-merkmale-d-0-201512-xlsx.xlsx?__blob=publicationFile&amp;v=1</x:v>
      </x:c>
      <x:c r="K118" s="2" t="str">
        <x:v>https://www.bbsr.bund.de/BBSR/DE/forschung/raumbeobachtung/Raumabgrenzungen/deutschland/regionen/arbeitsmarktregionen/arbeitsmarktregionen-2017.csv?__blob=publicationFile&amp;v=2</x:v>
      </x:c>
    </x:row>
    <x:row r="119" ht="24" customHeight="1">
      <x:c r="A119" s="6" t="str">
        <x:v>06411</x:v>
      </x:c>
      <x:c r="B119" s="2" t="str">
        <x:v>Darmstadt, Wissenschaftsstadt</x:v>
      </x:c>
      <x:c r="C119" s="2" t="n">
        <x:v>94</x:v>
      </x:c>
      <x:c r="D119" s="2" t="str">
        <x:v>Darmstadt</x:v>
      </x:c>
      <x:c r="E119" s="8" t="n">
        <x:v>3983.8333333333335</x:v>
      </x:c>
      <x:c r="F119" s="7" t="n">
        <x:v>70700</x:v>
      </x:c>
      <x:c r="G119" s="8" t="n">
        <x:f>E119*F119</x:f>
        <x:v>281657016.6666667</x:v>
      </x:c>
      <x:c r="H119" s="10" t="n">
        <x:f>F119/SUMIF($C$2:$C$403,C119,$F$2:$F$403)</x:f>
        <x:v>0.5865321597159425</x:v>
      </x:c>
      <x:c r="I119" s="2" t="str">
        <x:v>https://statistik.arbeitsagentur.de/Statistikdaten/Detail/201512/iiia6/beschaeftigung-entgelt-entgelt/entgelt-d-0-201512-xlsm.xlsm?__blob=publicationFile&amp;v=2</x:v>
      </x:c>
      <x:c r="J119" s="2" t="str">
        <x:v>https://statistik.arbeitsagentur.de/Statistikdaten/Detail/201512/iiia6/beschaeftigung-sozbe-svb-kreise-merkmale/svb-kreise-merkmale-d-0-201512-xlsx.xlsx?__blob=publicationFile&amp;v=1</x:v>
      </x:c>
      <x:c r="K119" s="2" t="str">
        <x:v>https://www.bbsr.bund.de/BBSR/DE/forschung/raumbeobachtung/Raumabgrenzungen/deutschland/regionen/arbeitsmarktregionen/arbeitsmarktregionen-2017.csv?__blob=publicationFile&amp;v=2</x:v>
      </x:c>
    </x:row>
    <x:row r="120" ht="24" customHeight="1">
      <x:c r="A120" s="6" t="str">
        <x:v>06412</x:v>
      </x:c>
      <x:c r="B120" s="2" t="str">
        <x:v>Frankfurt am Main, Stadt</x:v>
      </x:c>
      <x:c r="C120" s="2" t="n">
        <x:v>92</x:v>
      </x:c>
      <x:c r="D120" s="2" t="str">
        <x:v>Frankfurt/Main</x:v>
      </x:c>
      <x:c r="E120" s="8" t="n">
        <x:v>4026.7904140669316</x:v>
      </x:c>
      <x:c r="F120" s="7" t="n">
        <x:v>406327</x:v>
      </x:c>
      <x:c r="G120" s="8" t="n">
        <x:f>E120*F120</x:f>
        <x:v>1636193668.576574</x:v>
      </x:c>
      <x:c r="H120" s="10" t="n">
        <x:f>F120/SUMIF($C$2:$C$403,C120,$F$2:$F$403)</x:f>
        <x:v>0.5088424759433561</x:v>
      </x:c>
      <x:c r="I120" s="2" t="str">
        <x:v>https://statistik.arbeitsagentur.de/Statistikdaten/Detail/201512/iiia6/beschaeftigung-entgelt-entgelt/entgelt-d-0-201512-xlsm.xlsm?__blob=publicationFile&amp;v=2</x:v>
      </x:c>
      <x:c r="J120" s="2" t="str">
        <x:v>https://statistik.arbeitsagentur.de/Statistikdaten/Detail/201512/iiia6/beschaeftigung-sozbe-svb-kreise-merkmale/svb-kreise-merkmale-d-0-201512-xlsx.xlsx?__blob=publicationFile&amp;v=1</x:v>
      </x:c>
      <x:c r="K120" s="2" t="str">
        <x:v>https://www.bbsr.bund.de/BBSR/DE/forschung/raumbeobachtung/Raumabgrenzungen/deutschland/regionen/arbeitsmarktregionen/arbeitsmarktregionen-2017.csv?__blob=publicationFile&amp;v=2</x:v>
      </x:c>
    </x:row>
    <x:row r="121" ht="24" customHeight="1">
      <x:c r="A121" s="6" t="str">
        <x:v>06413</x:v>
      </x:c>
      <x:c r="B121" s="2" t="str">
        <x:v>Offenbach am Main, Stadt</x:v>
      </x:c>
      <x:c r="C121" s="2" t="n">
        <x:v>92</x:v>
      </x:c>
      <x:c r="D121" s="2" t="str">
        <x:v>Frankfurt/Main</x:v>
      </x:c>
      <x:c r="E121" s="8" t="n">
        <x:v>3468.0076452599387</x:v>
      </x:c>
      <x:c r="F121" s="7" t="n">
        <x:v>33283</x:v>
      </x:c>
      <x:c r="G121" s="8" t="n">
        <x:f>E121*F121</x:f>
        <x:v>115425698.45718654</x:v>
      </x:c>
      <x:c r="H121" s="10" t="n">
        <x:f>F121/SUMIF($C$2:$C$403,C121,$F$2:$F$403)</x:f>
        <x:v>0.04168023322797333</x:v>
      </x:c>
      <x:c r="I121" s="2" t="str">
        <x:v>https://statistik.arbeitsagentur.de/Statistikdaten/Detail/201512/iiia6/beschaeftigung-entgelt-entgelt/entgelt-d-0-201512-xlsm.xlsm?__blob=publicationFile&amp;v=2</x:v>
      </x:c>
      <x:c r="J121" s="2" t="str">
        <x:v>https://statistik.arbeitsagentur.de/Statistikdaten/Detail/201512/iiia6/beschaeftigung-sozbe-svb-kreise-merkmale/svb-kreise-merkmale-d-0-201512-xlsx.xlsx?__blob=publicationFile&amp;v=1</x:v>
      </x:c>
      <x:c r="K121" s="2" t="str">
        <x:v>https://www.bbsr.bund.de/BBSR/DE/forschung/raumbeobachtung/Raumabgrenzungen/deutschland/regionen/arbeitsmarktregionen/arbeitsmarktregionen-2017.csv?__blob=publicationFile&amp;v=2</x:v>
      </x:c>
    </x:row>
    <x:row r="122" ht="24" customHeight="1">
      <x:c r="A122" s="6" t="str">
        <x:v>06414</x:v>
      </x:c>
      <x:c r="B122" s="2" t="str">
        <x:v>Wiesbaden, Landeshauptstadt</x:v>
      </x:c>
      <x:c r="C122" s="2" t="n">
        <x:v>91</x:v>
      </x:c>
      <x:c r="D122" s="2" t="str">
        <x:v>Wiesbaden</x:v>
      </x:c>
      <x:c r="E122" s="8" t="n">
        <x:v>3636.407335907336</x:v>
      </x:c>
      <x:c r="F122" s="7" t="n">
        <x:v>94304</x:v>
      </x:c>
      <x:c r="G122" s="8" t="n">
        <x:f>E122*F122</x:f>
        <x:v>342927757.4054054</x:v>
      </x:c>
      <x:c r="H122" s="10" t="n">
        <x:f>F122/SUMIF($C$2:$C$403,C122,$F$2:$F$403)</x:f>
        <x:v>0.763551863457132</x:v>
      </x:c>
      <x:c r="I122" s="2" t="str">
        <x:v>https://statistik.arbeitsagentur.de/Statistikdaten/Detail/201512/iiia6/beschaeftigung-entgelt-entgelt/entgelt-d-0-201512-xlsm.xlsm?__blob=publicationFile&amp;v=2</x:v>
      </x:c>
      <x:c r="J122" s="2" t="str">
        <x:v>https://statistik.arbeitsagentur.de/Statistikdaten/Detail/201512/iiia6/beschaeftigung-sozbe-svb-kreise-merkmale/svb-kreise-merkmale-d-0-201512-xlsx.xlsx?__blob=publicationFile&amp;v=1</x:v>
      </x:c>
      <x:c r="K122" s="2" t="str">
        <x:v>https://www.bbsr.bund.de/BBSR/DE/forschung/raumbeobachtung/Raumabgrenzungen/deutschland/regionen/arbeitsmarktregionen/arbeitsmarktregionen-2017.csv?__blob=publicationFile&amp;v=2</x:v>
      </x:c>
    </x:row>
    <x:row r="123" ht="24" customHeight="1">
      <x:c r="A123" s="6" t="str">
        <x:v>06431</x:v>
      </x:c>
      <x:c r="B123" s="2" t="str">
        <x:v>Bergstraße</x:v>
      </x:c>
      <x:c r="C123" s="2" t="n">
        <x:v>130</x:v>
      </x:c>
      <x:c r="D123" s="2" t="str">
        <x:v>Mannheim</x:v>
      </x:c>
      <x:c r="E123" s="8" t="n">
        <x:v>2933.821870701513</x:v>
      </x:c>
      <x:c r="F123" s="7" t="n">
        <x:v>50860</x:v>
      </x:c>
      <x:c r="G123" s="8" t="n">
        <x:f>E123*F123</x:f>
        <x:v>149214180.34387895</x:v>
      </x:c>
      <x:c r="H123" s="10" t="n">
        <x:f>F123/SUMIF($C$2:$C$403,C123,$F$2:$F$403)</x:f>
        <x:v>0.2679366350403801</x:v>
      </x:c>
      <x:c r="I123" s="2" t="str">
        <x:v>https://statistik.arbeitsagentur.de/Statistikdaten/Detail/201512/iiia6/beschaeftigung-entgelt-entgelt/entgelt-d-0-201512-xlsm.xlsm?__blob=publicationFile&amp;v=2</x:v>
      </x:c>
      <x:c r="J123" s="2" t="str">
        <x:v>https://statistik.arbeitsagentur.de/Statistikdaten/Detail/201512/iiia6/beschaeftigung-sozbe-svb-kreise-merkmale/svb-kreise-merkmale-d-0-201512-xlsx.xlsx?__blob=publicationFile&amp;v=1</x:v>
      </x:c>
      <x:c r="K123" s="2" t="str">
        <x:v>https://www.bbsr.bund.de/BBSR/DE/forschung/raumbeobachtung/Raumabgrenzungen/deutschland/regionen/arbeitsmarktregionen/arbeitsmarktregionen-2017.csv?__blob=publicationFile&amp;v=2</x:v>
      </x:c>
    </x:row>
    <x:row r="124" ht="24" customHeight="1">
      <x:c r="A124" s="6" t="str">
        <x:v>06432</x:v>
      </x:c>
      <x:c r="B124" s="2" t="str">
        <x:v>Darmstadt-Dieburg</x:v>
      </x:c>
      <x:c r="C124" s="2" t="n">
        <x:v>94</x:v>
      </x:c>
      <x:c r="D124" s="2" t="str">
        <x:v>Darmstadt</x:v>
      </x:c>
      <x:c r="E124" s="8" t="n">
        <x:v>3008.0573979591836</x:v>
      </x:c>
      <x:c r="F124" s="7" t="n">
        <x:v>49839</x:v>
      </x:c>
      <x:c r="G124" s="8" t="n">
        <x:f>E124*F124</x:f>
        <x:v>149918572.65688774</x:v>
      </x:c>
      <x:c r="H124" s="10" t="n">
        <x:f>F124/SUMIF($C$2:$C$403,C124,$F$2:$F$403)</x:f>
        <x:v>0.4134678402840574</x:v>
      </x:c>
      <x:c r="I124" s="2" t="str">
        <x:v>https://statistik.arbeitsagentur.de/Statistikdaten/Detail/201512/iiia6/beschaeftigung-entgelt-entgelt/entgelt-d-0-201512-xlsm.xlsm?__blob=publicationFile&amp;v=2</x:v>
      </x:c>
      <x:c r="J124" s="2" t="str">
        <x:v>https://statistik.arbeitsagentur.de/Statistikdaten/Detail/201512/iiia6/beschaeftigung-sozbe-svb-kreise-merkmale/svb-kreise-merkmale-d-0-201512-xlsx.xlsx?__blob=publicationFile&amp;v=1</x:v>
      </x:c>
      <x:c r="K124" s="2" t="str">
        <x:v>https://www.bbsr.bund.de/BBSR/DE/forschung/raumbeobachtung/Raumabgrenzungen/deutschland/regionen/arbeitsmarktregionen/arbeitsmarktregionen-2017.csv?__blob=publicationFile&amp;v=2</x:v>
      </x:c>
    </x:row>
    <x:row r="125" ht="24" customHeight="1">
      <x:c r="A125" s="6" t="str">
        <x:v>06433</x:v>
      </x:c>
      <x:c r="B125" s="2" t="str">
        <x:v>Groß-Gerau</x:v>
      </x:c>
      <x:c r="C125" s="2" t="n">
        <x:v>92</x:v>
      </x:c>
      <x:c r="D125" s="2" t="str">
        <x:v>Frankfurt/Main</x:v>
      </x:c>
      <x:c r="E125" s="8" t="n">
        <x:v>3589.24251497006</x:v>
      </x:c>
      <x:c r="F125" s="7" t="n">
        <x:v>70546</x:v>
      </x:c>
      <x:c r="G125" s="8" t="n">
        <x:f>E125*F125</x:f>
        <x:v>253206702.46107784</x:v>
      </x:c>
      <x:c r="H125" s="10" t="n">
        <x:f>F125/SUMIF($C$2:$C$403,C125,$F$2:$F$403)</x:f>
        <x:v>0.08834461236368736</x:v>
      </x:c>
      <x:c r="I125" s="2" t="str">
        <x:v>https://statistik.arbeitsagentur.de/Statistikdaten/Detail/201512/iiia6/beschaeftigung-entgelt-entgelt/entgelt-d-0-201512-xlsm.xlsm?__blob=publicationFile&amp;v=2</x:v>
      </x:c>
      <x:c r="J125" s="2" t="str">
        <x:v>https://statistik.arbeitsagentur.de/Statistikdaten/Detail/201512/iiia6/beschaeftigung-sozbe-svb-kreise-merkmale/svb-kreise-merkmale-d-0-201512-xlsx.xlsx?__blob=publicationFile&amp;v=1</x:v>
      </x:c>
      <x:c r="K125" s="2" t="str">
        <x:v>https://www.bbsr.bund.de/BBSR/DE/forschung/raumbeobachtung/Raumabgrenzungen/deutschland/regionen/arbeitsmarktregionen/arbeitsmarktregionen-2017.csv?__blob=publicationFile&amp;v=2</x:v>
      </x:c>
    </x:row>
    <x:row r="126" ht="24" customHeight="1">
      <x:c r="A126" s="6" t="str">
        <x:v>06434</x:v>
      </x:c>
      <x:c r="B126" s="2" t="str">
        <x:v>Hochtaunuskreis</x:v>
      </x:c>
      <x:c r="C126" s="2" t="n">
        <x:v>92</x:v>
      </x:c>
      <x:c r="D126" s="2" t="str">
        <x:v>Frankfurt/Main</x:v>
      </x:c>
      <x:c r="E126" s="8" t="n">
        <x:v>3795.447604790419</x:v>
      </x:c>
      <x:c r="F126" s="7" t="n">
        <x:v>68524</x:v>
      </x:c>
      <x:c r="G126" s="8" t="n">
        <x:f>E126*F126</x:f>
        <x:v>260079251.67065868</x:v>
      </x:c>
      <x:c r="H126" s="10" t="n">
        <x:f>F126/SUMIF($C$2:$C$403,C126,$F$2:$F$403)</x:f>
        <x:v>0.08581246587488041</x:v>
      </x:c>
      <x:c r="I126" s="2" t="str">
        <x:v>https://statistik.arbeitsagentur.de/Statistikdaten/Detail/201512/iiia6/beschaeftigung-entgelt-entgelt/entgelt-d-0-201512-xlsm.xlsm?__blob=publicationFile&amp;v=2</x:v>
      </x:c>
      <x:c r="J126" s="2" t="str">
        <x:v>https://statistik.arbeitsagentur.de/Statistikdaten/Detail/201512/iiia6/beschaeftigung-sozbe-svb-kreise-merkmale/svb-kreise-merkmale-d-0-201512-xlsx.xlsx?__blob=publicationFile&amp;v=1</x:v>
      </x:c>
      <x:c r="K126" s="2" t="str">
        <x:v>https://www.bbsr.bund.de/BBSR/DE/forschung/raumbeobachtung/Raumabgrenzungen/deutschland/regionen/arbeitsmarktregionen/arbeitsmarktregionen-2017.csv?__blob=publicationFile&amp;v=2</x:v>
      </x:c>
    </x:row>
    <x:row r="127" ht="24" customHeight="1">
      <x:c r="A127" s="6" t="str">
        <x:v>06435</x:v>
      </x:c>
      <x:c r="B127" s="2" t="str">
        <x:v>Main-Kinzig-Kreis</x:v>
      </x:c>
      <x:c r="C127" s="2" t="n">
        <x:v>93</x:v>
      </x:c>
      <x:c r="D127" s="2" t="str">
        <x:v>Hanau</x:v>
      </x:c>
      <x:c r="E127" s="8" t="n">
        <x:v>3044.869715603382</x:v>
      </x:c>
      <x:c r="F127" s="7" t="n">
        <x:v>91938</x:v>
      </x:c>
      <x:c r="G127" s="8" t="n">
        <x:f>E127*F127</x:f>
        <x:v>279939231.9131437</x:v>
      </x:c>
      <x:c r="H127" s="10" t="n">
        <x:f>F127/SUMIF($C$2:$C$403,C127,$F$2:$F$403)</x:f>
        <x:v>1</x:v>
      </x:c>
      <x:c r="I127" s="2" t="str">
        <x:v>https://statistik.arbeitsagentur.de/Statistikdaten/Detail/201512/iiia6/beschaeftigung-entgelt-entgelt/entgelt-d-0-201512-xlsm.xlsm?__blob=publicationFile&amp;v=2</x:v>
      </x:c>
      <x:c r="J127" s="2" t="str">
        <x:v>https://statistik.arbeitsagentur.de/Statistikdaten/Detail/201512/iiia6/beschaeftigung-sozbe-svb-kreise-merkmale/svb-kreise-merkmale-d-0-201512-xlsx.xlsx?__blob=publicationFile&amp;v=1</x:v>
      </x:c>
      <x:c r="K127" s="2" t="str">
        <x:v>https://www.bbsr.bund.de/BBSR/DE/forschung/raumbeobachtung/Raumabgrenzungen/deutschland/regionen/arbeitsmarktregionen/arbeitsmarktregionen-2017.csv?__blob=publicationFile&amp;v=2</x:v>
      </x:c>
    </x:row>
    <x:row r="128" ht="24" customHeight="1">
      <x:c r="A128" s="6" t="str">
        <x:v>06436</x:v>
      </x:c>
      <x:c r="B128" s="2" t="str">
        <x:v>Main-Taunus-Kreis</x:v>
      </x:c>
      <x:c r="C128" s="2" t="n">
        <x:v>92</x:v>
      </x:c>
      <x:c r="D128" s="2" t="str">
        <x:v>Frankfurt/Main</x:v>
      </x:c>
      <x:c r="E128" s="8" t="n">
        <x:v>3938.649078726968</x:v>
      </x:c>
      <x:c r="F128" s="7" t="n">
        <x:v>73443</x:v>
      </x:c>
      <x:c r="G128" s="8" t="n">
        <x:f>E128*F128</x:f>
        <x:v>289266204.2889447</x:v>
      </x:c>
      <x:c r="H128" s="10" t="n">
        <x:f>F128/SUMIF($C$2:$C$403,C128,$F$2:$F$403)</x:f>
        <x:v>0.09197251957341722</x:v>
      </x:c>
      <x:c r="I128" s="2" t="str">
        <x:v>https://statistik.arbeitsagentur.de/Statistikdaten/Detail/201512/iiia6/beschaeftigung-entgelt-entgelt/entgelt-d-0-201512-xlsm.xlsm?__blob=publicationFile&amp;v=2</x:v>
      </x:c>
      <x:c r="J128" s="2" t="str">
        <x:v>https://statistik.arbeitsagentur.de/Statistikdaten/Detail/201512/iiia6/beschaeftigung-sozbe-svb-kreise-merkmale/svb-kreise-merkmale-d-0-201512-xlsx.xlsx?__blob=publicationFile&amp;v=1</x:v>
      </x:c>
      <x:c r="K128" s="2" t="str">
        <x:v>https://www.bbsr.bund.de/BBSR/DE/forschung/raumbeobachtung/Raumabgrenzungen/deutschland/regionen/arbeitsmarktregionen/arbeitsmarktregionen-2017.csv?__blob=publicationFile&amp;v=2</x:v>
      </x:c>
    </x:row>
    <x:row r="129" ht="24" customHeight="1">
      <x:c r="A129" s="6" t="str">
        <x:v>06437</x:v>
      </x:c>
      <x:c r="B129" s="2" t="str">
        <x:v>Odenwaldkreis</x:v>
      </x:c>
      <x:c r="C129" s="2" t="n">
        <x:v>95</x:v>
      </x:c>
      <x:c r="D129" s="2" t="str">
        <x:v>Erbach</x:v>
      </x:c>
      <x:c r="E129" s="8" t="n">
        <x:v>2844.224696356275</x:v>
      </x:c>
      <x:c r="F129" s="7" t="n">
        <x:v>19087</x:v>
      </x:c>
      <x:c r="G129" s="8" t="n">
        <x:f>E129*F129</x:f>
        <x:v>54287716.779352225</x:v>
      </x:c>
      <x:c r="H129" s="10" t="n">
        <x:f>F129/SUMIF($C$2:$C$403,C129,$F$2:$F$403)</x:f>
        <x:v>1</x:v>
      </x:c>
      <x:c r="I129" s="2" t="str">
        <x:v>https://statistik.arbeitsagentur.de/Statistikdaten/Detail/201512/iiia6/beschaeftigung-entgelt-entgelt/entgelt-d-0-201512-xlsm.xlsm?__blob=publicationFile&amp;v=2</x:v>
      </x:c>
      <x:c r="J129" s="2" t="str">
        <x:v>https://statistik.arbeitsagentur.de/Statistikdaten/Detail/201512/iiia6/beschaeftigung-sozbe-svb-kreise-merkmale/svb-kreise-merkmale-d-0-201512-xlsx.xlsx?__blob=publicationFile&amp;v=1</x:v>
      </x:c>
      <x:c r="K129" s="2" t="str">
        <x:v>https://www.bbsr.bund.de/BBSR/DE/forschung/raumbeobachtung/Raumabgrenzungen/deutschland/regionen/arbeitsmarktregionen/arbeitsmarktregionen-2017.csv?__blob=publicationFile&amp;v=2</x:v>
      </x:c>
    </x:row>
    <x:row r="130" ht="24" customHeight="1">
      <x:c r="A130" s="6" t="str">
        <x:v>06438</x:v>
      </x:c>
      <x:c r="B130" s="2" t="str">
        <x:v>Offenbach</x:v>
      </x:c>
      <x:c r="C130" s="2" t="n">
        <x:v>92</x:v>
      </x:c>
      <x:c r="D130" s="2" t="str">
        <x:v>Frankfurt/Main</x:v>
      </x:c>
      <x:c r="E130" s="8" t="n">
        <x:v>3370.875408052231</x:v>
      </x:c>
      <x:c r="F130" s="7" t="n">
        <x:v>88146</x:v>
      </x:c>
      <x:c r="G130" s="8" t="n">
        <x:f>E130*F130</x:f>
        <x:v>297129183.71817195</x:v>
      </x:c>
      <x:c r="H130" s="10" t="n">
        <x:f>F130/SUMIF($C$2:$C$403,C130,$F$2:$F$403)</x:f>
        <x:v>0.11038505657882214</x:v>
      </x:c>
      <x:c r="I130" s="2" t="str">
        <x:v>https://statistik.arbeitsagentur.de/Statistikdaten/Detail/201512/iiia6/beschaeftigung-entgelt-entgelt/entgelt-d-0-201512-xlsm.xlsm?__blob=publicationFile&amp;v=2</x:v>
      </x:c>
      <x:c r="J130" s="2" t="str">
        <x:v>https://statistik.arbeitsagentur.de/Statistikdaten/Detail/201512/iiia6/beschaeftigung-sozbe-svb-kreise-merkmale/svb-kreise-merkmale-d-0-201512-xlsx.xlsx?__blob=publicationFile&amp;v=1</x:v>
      </x:c>
      <x:c r="K130" s="2" t="str">
        <x:v>https://www.bbsr.bund.de/BBSR/DE/forschung/raumbeobachtung/Raumabgrenzungen/deutschland/regionen/arbeitsmarktregionen/arbeitsmarktregionen-2017.csv?__blob=publicationFile&amp;v=2</x:v>
      </x:c>
    </x:row>
    <x:row r="131" ht="24" customHeight="1">
      <x:c r="A131" s="6" t="str">
        <x:v>06439</x:v>
      </x:c>
      <x:c r="B131" s="2" t="str">
        <x:v>Rheingau-Taunus-Kreis</x:v>
      </x:c>
      <x:c r="C131" s="2" t="n">
        <x:v>91</x:v>
      </x:c>
      <x:c r="D131" s="2" t="str">
        <x:v>Wiesbaden</x:v>
      </x:c>
      <x:c r="E131" s="8" t="n">
        <x:v>3045.308126410835</x:v>
      </x:c>
      <x:c r="F131" s="7" t="n">
        <x:v>29203</x:v>
      </x:c>
      <x:c r="G131" s="8" t="n">
        <x:f>E131*F131</x:f>
        <x:v>88932133.21557562</x:v>
      </x:c>
      <x:c r="H131" s="10" t="n">
        <x:f>F131/SUMIF($C$2:$C$403,C131,$F$2:$F$403)</x:f>
        <x:v>0.236448136542868</x:v>
      </x:c>
      <x:c r="I131" s="2" t="str">
        <x:v>https://statistik.arbeitsagentur.de/Statistikdaten/Detail/201512/iiia6/beschaeftigung-entgelt-entgelt/entgelt-d-0-201512-xlsm.xlsm?__blob=publicationFile&amp;v=2</x:v>
      </x:c>
      <x:c r="J131" s="2" t="str">
        <x:v>https://statistik.arbeitsagentur.de/Statistikdaten/Detail/201512/iiia6/beschaeftigung-sozbe-svb-kreise-merkmale/svb-kreise-merkmale-d-0-201512-xlsx.xlsx?__blob=publicationFile&amp;v=1</x:v>
      </x:c>
      <x:c r="K131" s="2" t="str">
        <x:v>https://www.bbsr.bund.de/BBSR/DE/forschung/raumbeobachtung/Raumabgrenzungen/deutschland/regionen/arbeitsmarktregionen/arbeitsmarktregionen-2017.csv?__blob=publicationFile&amp;v=2</x:v>
      </x:c>
    </x:row>
    <x:row r="132" ht="24" customHeight="1">
      <x:c r="A132" s="6" t="str">
        <x:v>06440</x:v>
      </x:c>
      <x:c r="B132" s="2" t="str">
        <x:v>Wetteraukreis</x:v>
      </x:c>
      <x:c r="C132" s="2" t="n">
        <x:v>92</x:v>
      </x:c>
      <x:c r="D132" s="2" t="str">
        <x:v>Frankfurt/Main</x:v>
      </x:c>
      <x:c r="E132" s="8" t="n">
        <x:v>3049.3979118329466</x:v>
      </x:c>
      <x:c r="F132" s="7" t="n">
        <x:v>58263</x:v>
      </x:c>
      <x:c r="G132" s="8" t="n">
        <x:f>E132*F132</x:f>
        <x:v>177667070.53712296</x:v>
      </x:c>
      <x:c r="H132" s="10" t="n">
        <x:f>F132/SUMIF($C$2:$C$403,C132,$F$2:$F$403)</x:f>
        <x:v>0.07296263643786348</x:v>
      </x:c>
      <x:c r="I132" s="2" t="str">
        <x:v>https://statistik.arbeitsagentur.de/Statistikdaten/Detail/201512/iiia6/beschaeftigung-entgelt-entgelt/entgelt-d-0-201512-xlsm.xlsm?__blob=publicationFile&amp;v=2</x:v>
      </x:c>
      <x:c r="J132" s="2" t="str">
        <x:v>https://statistik.arbeitsagentur.de/Statistikdaten/Detail/201512/iiia6/beschaeftigung-sozbe-svb-kreise-merkmale/svb-kreise-merkmale-d-0-201512-xlsx.xlsx?__blob=publicationFile&amp;v=1</x:v>
      </x:c>
      <x:c r="K132" s="2" t="str">
        <x:v>https://www.bbsr.bund.de/BBSR/DE/forschung/raumbeobachtung/Raumabgrenzungen/deutschland/regionen/arbeitsmarktregionen/arbeitsmarktregionen-2017.csv?__blob=publicationFile&amp;v=2</x:v>
      </x:c>
    </x:row>
    <x:row r="133" ht="24" customHeight="1">
      <x:c r="A133" s="6" t="str">
        <x:v>06531</x:v>
      </x:c>
      <x:c r="B133" s="2" t="str">
        <x:v>Gießen</x:v>
      </x:c>
      <x:c r="C133" s="2" t="n">
        <x:v>89</x:v>
      </x:c>
      <x:c r="D133" s="2" t="str">
        <x:v>Gießen</x:v>
      </x:c>
      <x:c r="E133" s="8" t="n">
        <x:v>3115.735173824131</x:v>
      </x:c>
      <x:c r="F133" s="7" t="n">
        <x:v>62728</x:v>
      </x:c>
      <x:c r="G133" s="8" t="n">
        <x:f>E133*F133</x:f>
        <x:v>195443835.98364007</x:v>
      </x:c>
      <x:c r="H133" s="10" t="n">
        <x:f>F133/SUMIF($C$2:$C$403,C133,$F$2:$F$403)</x:f>
        <x:v>1</x:v>
      </x:c>
      <x:c r="I133" s="2" t="str">
        <x:v>https://statistik.arbeitsagentur.de/Statistikdaten/Detail/201512/iiia6/beschaeftigung-entgelt-entgelt/entgelt-d-0-201512-xlsm.xlsm?__blob=publicationFile&amp;v=2</x:v>
      </x:c>
      <x:c r="J133" s="2" t="str">
        <x:v>https://statistik.arbeitsagentur.de/Statistikdaten/Detail/201512/iiia6/beschaeftigung-sozbe-svb-kreise-merkmale/svb-kreise-merkmale-d-0-201512-xlsx.xlsx?__blob=publicationFile&amp;v=1</x:v>
      </x:c>
      <x:c r="K133" s="2" t="str">
        <x:v>https://www.bbsr.bund.de/BBSR/DE/forschung/raumbeobachtung/Raumabgrenzungen/deutschland/regionen/arbeitsmarktregionen/arbeitsmarktregionen-2017.csv?__blob=publicationFile&amp;v=2</x:v>
      </x:c>
    </x:row>
    <x:row r="134" ht="24" customHeight="1">
      <x:c r="A134" s="6" t="str">
        <x:v>06532</x:v>
      </x:c>
      <x:c r="B134" s="2" t="str">
        <x:v>Lahn-Dill-Kreis</x:v>
      </x:c>
      <x:c r="C134" s="2" t="n">
        <x:v>88</x:v>
      </x:c>
      <x:c r="D134" s="2" t="str">
        <x:v>Wetzlar</x:v>
      </x:c>
      <x:c r="E134" s="8" t="n">
        <x:v>3158.376394052045</x:v>
      </x:c>
      <x:c r="F134" s="7" t="n">
        <x:v>68229</x:v>
      </x:c>
      <x:c r="G134" s="8" t="n">
        <x:f>E134*F134</x:f>
        <x:v>215492862.98977697</x:v>
      </x:c>
      <x:c r="H134" s="10" t="n">
        <x:f>F134/SUMIF($C$2:$C$403,C134,$F$2:$F$403)</x:f>
        <x:v>1</x:v>
      </x:c>
      <x:c r="I134" s="2" t="str">
        <x:v>https://statistik.arbeitsagentur.de/Statistikdaten/Detail/201512/iiia6/beschaeftigung-entgelt-entgelt/entgelt-d-0-201512-xlsm.xlsm?__blob=publicationFile&amp;v=2</x:v>
      </x:c>
      <x:c r="J134" s="2" t="str">
        <x:v>https://statistik.arbeitsagentur.de/Statistikdaten/Detail/201512/iiia6/beschaeftigung-sozbe-svb-kreise-merkmale/svb-kreise-merkmale-d-0-201512-xlsx.xlsx?__blob=publicationFile&amp;v=1</x:v>
      </x:c>
      <x:c r="K134" s="2" t="str">
        <x:v>https://www.bbsr.bund.de/BBSR/DE/forschung/raumbeobachtung/Raumabgrenzungen/deutschland/regionen/arbeitsmarktregionen/arbeitsmarktregionen-2017.csv?__blob=publicationFile&amp;v=2</x:v>
      </x:c>
    </x:row>
    <x:row r="135" ht="24" customHeight="1">
      <x:c r="A135" s="6" t="str">
        <x:v>06533</x:v>
      </x:c>
      <x:c r="B135" s="2" t="str">
        <x:v>Limburg-Weilburg</x:v>
      </x:c>
      <x:c r="C135" s="2" t="n">
        <x:v>90</x:v>
      </x:c>
      <x:c r="D135" s="2" t="str">
        <x:v>Limburg</x:v>
      </x:c>
      <x:c r="E135" s="8" t="n">
        <x:v>2864.14522417154</x:v>
      </x:c>
      <x:c r="F135" s="7" t="n">
        <x:v>35405</x:v>
      </x:c>
      <x:c r="G135" s="8" t="n">
        <x:f>E135*F135</x:f>
        <x:v>101405061.66179338</x:v>
      </x:c>
      <x:c r="H135" s="10" t="n">
        <x:f>F135/SUMIF($C$2:$C$403,C135,$F$2:$F$403)</x:f>
        <x:v>1</x:v>
      </x:c>
      <x:c r="I135" s="2" t="str">
        <x:v>https://statistik.arbeitsagentur.de/Statistikdaten/Detail/201512/iiia6/beschaeftigung-entgelt-entgelt/entgelt-d-0-201512-xlsm.xlsm?__blob=publicationFile&amp;v=2</x:v>
      </x:c>
      <x:c r="J135" s="2" t="str">
        <x:v>https://statistik.arbeitsagentur.de/Statistikdaten/Detail/201512/iiia6/beschaeftigung-sozbe-svb-kreise-merkmale/svb-kreise-merkmale-d-0-201512-xlsx.xlsx?__blob=publicationFile&amp;v=1</x:v>
      </x:c>
      <x:c r="K135" s="2" t="str">
        <x:v>https://www.bbsr.bund.de/BBSR/DE/forschung/raumbeobachtung/Raumabgrenzungen/deutschland/regionen/arbeitsmarktregionen/arbeitsmarktregionen-2017.csv?__blob=publicationFile&amp;v=2</x:v>
      </x:c>
    </x:row>
    <x:row r="136" ht="24" customHeight="1">
      <x:c r="A136" s="6" t="str">
        <x:v>06534</x:v>
      </x:c>
      <x:c r="B136" s="2" t="str">
        <x:v>Marburg-Biedenkopf</x:v>
      </x:c>
      <x:c r="C136" s="2" t="n">
        <x:v>85</x:v>
      </x:c>
      <x:c r="D136" s="2" t="str">
        <x:v>Marburg</x:v>
      </x:c>
      <x:c r="E136" s="8" t="n">
        <x:v>3196.2995951417006</x:v>
      </x:c>
      <x:c r="F136" s="7" t="n">
        <x:v>60987</x:v>
      </x:c>
      <x:c r="G136" s="8" t="n">
        <x:f>E136*F136</x:f>
        <x:v>194932723.4089069</x:v>
      </x:c>
      <x:c r="H136" s="10" t="n">
        <x:f>F136/SUMIF($C$2:$C$403,C136,$F$2:$F$403)</x:f>
        <x:v>1</x:v>
      </x:c>
      <x:c r="I136" s="2" t="str">
        <x:v>https://statistik.arbeitsagentur.de/Statistikdaten/Detail/201512/iiia6/beschaeftigung-entgelt-entgelt/entgelt-d-0-201512-xlsm.xlsm?__blob=publicationFile&amp;v=2</x:v>
      </x:c>
      <x:c r="J136" s="2" t="str">
        <x:v>https://statistik.arbeitsagentur.de/Statistikdaten/Detail/201512/iiia6/beschaeftigung-sozbe-svb-kreise-merkmale/svb-kreise-merkmale-d-0-201512-xlsx.xlsx?__blob=publicationFile&amp;v=1</x:v>
      </x:c>
      <x:c r="K136" s="2" t="str">
        <x:v>https://www.bbsr.bund.de/BBSR/DE/forschung/raumbeobachtung/Raumabgrenzungen/deutschland/regionen/arbeitsmarktregionen/arbeitsmarktregionen-2017.csv?__blob=publicationFile&amp;v=2</x:v>
      </x:c>
    </x:row>
    <x:row r="137" ht="24" customHeight="1">
      <x:c r="A137" s="6" t="str">
        <x:v>06535</x:v>
      </x:c>
      <x:c r="B137" s="2" t="str">
        <x:v>Vogelsbergkreis</x:v>
      </x:c>
      <x:c r="C137" s="2" t="n">
        <x:v>86</x:v>
      </x:c>
      <x:c r="D137" s="2" t="str">
        <x:v>Lauterbach</x:v>
      </x:c>
      <x:c r="E137" s="8" t="n">
        <x:v>2845.2139303482586</x:v>
      </x:c>
      <x:c r="F137" s="7" t="n">
        <x:v>21940</x:v>
      </x:c>
      <x:c r="G137" s="8" t="n">
        <x:f>E137*F137</x:f>
        <x:v>62423993.631840795</x:v>
      </x:c>
      <x:c r="H137" s="10" t="n">
        <x:f>F137/SUMIF($C$2:$C$403,C137,$F$2:$F$403)</x:f>
        <x:v>1</x:v>
      </x:c>
      <x:c r="I137" s="2" t="str">
        <x:v>https://statistik.arbeitsagentur.de/Statistikdaten/Detail/201512/iiia6/beschaeftigung-entgelt-entgelt/entgelt-d-0-201512-xlsm.xlsm?__blob=publicationFile&amp;v=2</x:v>
      </x:c>
      <x:c r="J137" s="2" t="str">
        <x:v>https://statistik.arbeitsagentur.de/Statistikdaten/Detail/201512/iiia6/beschaeftigung-sozbe-svb-kreise-merkmale/svb-kreise-merkmale-d-0-201512-xlsx.xlsx?__blob=publicationFile&amp;v=1</x:v>
      </x:c>
      <x:c r="K137" s="2" t="str">
        <x:v>https://www.bbsr.bund.de/BBSR/DE/forschung/raumbeobachtung/Raumabgrenzungen/deutschland/regionen/arbeitsmarktregionen/arbeitsmarktregionen-2017.csv?__blob=publicationFile&amp;v=2</x:v>
      </x:c>
    </x:row>
    <x:row r="138" ht="24" customHeight="1">
      <x:c r="A138" s="6" t="str">
        <x:v>06611</x:v>
      </x:c>
      <x:c r="B138" s="2" t="str">
        <x:v>Kassel, documenta-Stadt</x:v>
      </x:c>
      <x:c r="C138" s="2" t="n">
        <x:v>81</x:v>
      </x:c>
      <x:c r="D138" s="2" t="str">
        <x:v>Kassel</x:v>
      </x:c>
      <x:c r="E138" s="8" t="n">
        <x:v>3286.5511363636365</x:v>
      </x:c>
      <x:c r="F138" s="7" t="n">
        <x:v>72494</x:v>
      </x:c>
      <x:c r="G138" s="8" t="n">
        <x:f>E138*F138</x:f>
        <x:v>238255238.07954547</x:v>
      </x:c>
      <x:c r="H138" s="10" t="n">
        <x:f>F138/SUMIF($C$2:$C$403,C138,$F$2:$F$403)</x:f>
        <x:v>0.5780191041158367</x:v>
      </x:c>
      <x:c r="I138" s="2" t="str">
        <x:v>https://statistik.arbeitsagentur.de/Statistikdaten/Detail/201512/iiia6/beschaeftigung-entgelt-entgelt/entgelt-d-0-201512-xlsm.xlsm?__blob=publicationFile&amp;v=2</x:v>
      </x:c>
      <x:c r="J138" s="2" t="str">
        <x:v>https://statistik.arbeitsagentur.de/Statistikdaten/Detail/201512/iiia6/beschaeftigung-sozbe-svb-kreise-merkmale/svb-kreise-merkmale-d-0-201512-xlsx.xlsx?__blob=publicationFile&amp;v=1</x:v>
      </x:c>
      <x:c r="K138" s="2" t="str">
        <x:v>https://www.bbsr.bund.de/BBSR/DE/forschung/raumbeobachtung/Raumabgrenzungen/deutschland/regionen/arbeitsmarktregionen/arbeitsmarktregionen-2017.csv?__blob=publicationFile&amp;v=2</x:v>
      </x:c>
    </x:row>
    <x:row r="139" ht="24" customHeight="1">
      <x:c r="A139" s="6" t="str">
        <x:v>06631</x:v>
      </x:c>
      <x:c r="B139" s="2" t="str">
        <x:v>Fulda</x:v>
      </x:c>
      <x:c r="C139" s="2" t="n">
        <x:v>87</x:v>
      </x:c>
      <x:c r="D139" s="2" t="str">
        <x:v>Fulda</x:v>
      </x:c>
      <x:c r="E139" s="8" t="n">
        <x:v>2827.939024390244</x:v>
      </x:c>
      <x:c r="F139" s="7" t="n">
        <x:v>65854</x:v>
      </x:c>
      <x:c r="G139" s="8" t="n">
        <x:f>E139*F139</x:f>
        <x:v>186231096.51219514</x:v>
      </x:c>
      <x:c r="H139" s="10" t="n">
        <x:f>F139/SUMIF($C$2:$C$403,C139,$F$2:$F$403)</x:f>
        <x:v>1</x:v>
      </x:c>
      <x:c r="I139" s="2" t="str">
        <x:v>https://statistik.arbeitsagentur.de/Statistikdaten/Detail/201512/iiia6/beschaeftigung-entgelt-entgelt/entgelt-d-0-201512-xlsm.xlsm?__blob=publicationFile&amp;v=2</x:v>
      </x:c>
      <x:c r="J139" s="2" t="str">
        <x:v>https://statistik.arbeitsagentur.de/Statistikdaten/Detail/201512/iiia6/beschaeftigung-sozbe-svb-kreise-merkmale/svb-kreise-merkmale-d-0-201512-xlsx.xlsx?__blob=publicationFile&amp;v=1</x:v>
      </x:c>
      <x:c r="K139" s="2" t="str">
        <x:v>https://www.bbsr.bund.de/BBSR/DE/forschung/raumbeobachtung/Raumabgrenzungen/deutschland/regionen/arbeitsmarktregionen/arbeitsmarktregionen-2017.csv?__blob=publicationFile&amp;v=2</x:v>
      </x:c>
    </x:row>
    <x:row r="140" ht="24" customHeight="1">
      <x:c r="A140" s="6" t="str">
        <x:v>06632</x:v>
      </x:c>
      <x:c r="B140" s="2" t="str">
        <x:v>Hersfeld-Rotenburg</x:v>
      </x:c>
      <x:c r="C140" s="2" t="n">
        <x:v>84</x:v>
      </x:c>
      <x:c r="D140" s="2" t="str">
        <x:v>Hersfeld</x:v>
      </x:c>
      <x:c r="E140" s="8" t="n">
        <x:v>2782.292873051225</x:v>
      </x:c>
      <x:c r="F140" s="7" t="n">
        <x:v>34011</x:v>
      </x:c>
      <x:c r="G140" s="8" t="n">
        <x:f>E140*F140</x:f>
        <x:v>94628562.90534522</x:v>
      </x:c>
      <x:c r="H140" s="10" t="n">
        <x:f>F140/SUMIF($C$2:$C$403,C140,$F$2:$F$403)</x:f>
        <x:v>1</x:v>
      </x:c>
      <x:c r="I140" s="2" t="str">
        <x:v>https://statistik.arbeitsagentur.de/Statistikdaten/Detail/201512/iiia6/beschaeftigung-entgelt-entgelt/entgelt-d-0-201512-xlsm.xlsm?__blob=publicationFile&amp;v=2</x:v>
      </x:c>
      <x:c r="J140" s="2" t="str">
        <x:v>https://statistik.arbeitsagentur.de/Statistikdaten/Detail/201512/iiia6/beschaeftigung-sozbe-svb-kreise-merkmale/svb-kreise-merkmale-d-0-201512-xlsx.xlsx?__blob=publicationFile&amp;v=1</x:v>
      </x:c>
      <x:c r="K140" s="2" t="str">
        <x:v>https://www.bbsr.bund.de/BBSR/DE/forschung/raumbeobachtung/Raumabgrenzungen/deutschland/regionen/arbeitsmarktregionen/arbeitsmarktregionen-2017.csv?__blob=publicationFile&amp;v=2</x:v>
      </x:c>
    </x:row>
    <x:row r="141" ht="24" customHeight="1">
      <x:c r="A141" s="6" t="str">
        <x:v>06633</x:v>
      </x:c>
      <x:c r="B141" s="2" t="str">
        <x:v>Kassel</x:v>
      </x:c>
      <x:c r="C141" s="2" t="n">
        <x:v>81</x:v>
      </x:c>
      <x:c r="D141" s="2" t="str">
        <x:v>Kassel</x:v>
      </x:c>
      <x:c r="E141" s="8" t="n">
        <x:v>3401.159472422062</x:v>
      </x:c>
      <x:c r="F141" s="7" t="n">
        <x:v>52924</x:v>
      </x:c>
      <x:c r="G141" s="8" t="n">
        <x:f>E141*F141</x:f>
        <x:v>180002963.91846523</x:v>
      </x:c>
      <x:c r="H141" s="10" t="n">
        <x:f>F141/SUMIF($C$2:$C$403,C141,$F$2:$F$403)</x:f>
        <x:v>0.4219808958841634</x:v>
      </x:c>
      <x:c r="I141" s="2" t="str">
        <x:v>https://statistik.arbeitsagentur.de/Statistikdaten/Detail/201512/iiia6/beschaeftigung-entgelt-entgelt/entgelt-d-0-201512-xlsm.xlsm?__blob=publicationFile&amp;v=2</x:v>
      </x:c>
      <x:c r="J141" s="2" t="str">
        <x:v>https://statistik.arbeitsagentur.de/Statistikdaten/Detail/201512/iiia6/beschaeftigung-sozbe-svb-kreise-merkmale/svb-kreise-merkmale-d-0-201512-xlsx.xlsx?__blob=publicationFile&amp;v=1</x:v>
      </x:c>
      <x:c r="K141" s="2" t="str">
        <x:v>https://www.bbsr.bund.de/BBSR/DE/forschung/raumbeobachtung/Raumabgrenzungen/deutschland/regionen/arbeitsmarktregionen/arbeitsmarktregionen-2017.csv?__blob=publicationFile&amp;v=2</x:v>
      </x:c>
    </x:row>
    <x:row r="142" ht="24" customHeight="1">
      <x:c r="A142" s="6" t="str">
        <x:v>06634</x:v>
      </x:c>
      <x:c r="B142" s="2" t="str">
        <x:v>Schwalm-Eder-Kreis</x:v>
      </x:c>
      <x:c r="C142" s="2" t="n">
        <x:v>83</x:v>
      </x:c>
      <x:c r="D142" s="2" t="str">
        <x:v>Schwalm-Eder</x:v>
      </x:c>
      <x:c r="E142" s="8" t="n">
        <x:v>2906.698347107438</x:v>
      </x:c>
      <x:c r="F142" s="7" t="n">
        <x:v>35250</x:v>
      </x:c>
      <x:c r="G142" s="8" t="n">
        <x:f>E142*F142</x:f>
        <x:v>102461116.7355372</x:v>
      </x:c>
      <x:c r="H142" s="10" t="n">
        <x:f>F142/SUMIF($C$2:$C$403,C142,$F$2:$F$403)</x:f>
        <x:v>1</x:v>
      </x:c>
      <x:c r="I142" s="2" t="str">
        <x:v>https://statistik.arbeitsagentur.de/Statistikdaten/Detail/201512/iiia6/beschaeftigung-entgelt-entgelt/entgelt-d-0-201512-xlsm.xlsm?__blob=publicationFile&amp;v=2</x:v>
      </x:c>
      <x:c r="J142" s="2" t="str">
        <x:v>https://statistik.arbeitsagentur.de/Statistikdaten/Detail/201512/iiia6/beschaeftigung-sozbe-svb-kreise-merkmale/svb-kreise-merkmale-d-0-201512-xlsx.xlsx?__blob=publicationFile&amp;v=1</x:v>
      </x:c>
      <x:c r="K142" s="2" t="str">
        <x:v>https://www.bbsr.bund.de/BBSR/DE/forschung/raumbeobachtung/Raumabgrenzungen/deutschland/regionen/arbeitsmarktregionen/arbeitsmarktregionen-2017.csv?__blob=publicationFile&amp;v=2</x:v>
      </x:c>
    </x:row>
    <x:row r="143" ht="24" customHeight="1">
      <x:c r="A143" s="6" t="str">
        <x:v>06635</x:v>
      </x:c>
      <x:c r="B143" s="2" t="str">
        <x:v>Waldeck-Frankenberg</x:v>
      </x:c>
      <x:c r="C143" s="2" t="n">
        <x:v>80</x:v>
      </x:c>
      <x:c r="D143" s="2" t="str">
        <x:v>Korbach</x:v>
      </x:c>
      <x:c r="E143" s="8" t="n">
        <x:v>2940.4093904448105</x:v>
      </x:c>
      <x:c r="F143" s="7" t="n">
        <x:v>43895</x:v>
      </x:c>
      <x:c r="G143" s="8" t="n">
        <x:f>E143*F143</x:f>
        <x:v>129069270.19357495</x:v>
      </x:c>
      <x:c r="H143" s="10" t="n">
        <x:f>F143/SUMIF($C$2:$C$403,C143,$F$2:$F$403)</x:f>
        <x:v>1</x:v>
      </x:c>
      <x:c r="I143" s="2" t="str">
        <x:v>https://statistik.arbeitsagentur.de/Statistikdaten/Detail/201512/iiia6/beschaeftigung-entgelt-entgelt/entgelt-d-0-201512-xlsm.xlsm?__blob=publicationFile&amp;v=2</x:v>
      </x:c>
      <x:c r="J143" s="2" t="str">
        <x:v>https://statistik.arbeitsagentur.de/Statistikdaten/Detail/201512/iiia6/beschaeftigung-sozbe-svb-kreise-merkmale/svb-kreise-merkmale-d-0-201512-xlsx.xlsx?__blob=publicationFile&amp;v=1</x:v>
      </x:c>
      <x:c r="K143" s="2" t="str">
        <x:v>https://www.bbsr.bund.de/BBSR/DE/forschung/raumbeobachtung/Raumabgrenzungen/deutschland/regionen/arbeitsmarktregionen/arbeitsmarktregionen-2017.csv?__blob=publicationFile&amp;v=2</x:v>
      </x:c>
    </x:row>
    <x:row r="144" ht="24" customHeight="1">
      <x:c r="A144" s="6" t="str">
        <x:v>06636</x:v>
      </x:c>
      <x:c r="B144" s="2" t="str">
        <x:v>Werra-Meißner-Kreis</x:v>
      </x:c>
      <x:c r="C144" s="2" t="n">
        <x:v>82</x:v>
      </x:c>
      <x:c r="D144" s="2" t="str">
        <x:v>Eschwege</x:v>
      </x:c>
      <x:c r="E144" s="8" t="n">
        <x:v>2731.8207547169814</x:v>
      </x:c>
      <x:c r="F144" s="7" t="n">
        <x:v>17527</x:v>
      </x:c>
      <x:c r="G144" s="8" t="n">
        <x:f>E144*F144</x:f>
        <x:v>47880622.367924534</x:v>
      </x:c>
      <x:c r="H144" s="10" t="n">
        <x:f>F144/SUMIF($C$2:$C$403,C144,$F$2:$F$403)</x:f>
        <x:v>1</x:v>
      </x:c>
      <x:c r="I144" s="2" t="str">
        <x:v>https://statistik.arbeitsagentur.de/Statistikdaten/Detail/201512/iiia6/beschaeftigung-entgelt-entgelt/entgelt-d-0-201512-xlsm.xlsm?__blob=publicationFile&amp;v=2</x:v>
      </x:c>
      <x:c r="J144" s="2" t="str">
        <x:v>https://statistik.arbeitsagentur.de/Statistikdaten/Detail/201512/iiia6/beschaeftigung-sozbe-svb-kreise-merkmale/svb-kreise-merkmale-d-0-201512-xlsx.xlsx?__blob=publicationFile&amp;v=1</x:v>
      </x:c>
      <x:c r="K144" s="2" t="str">
        <x:v>https://www.bbsr.bund.de/BBSR/DE/forschung/raumbeobachtung/Raumabgrenzungen/deutschland/regionen/arbeitsmarktregionen/arbeitsmarktregionen-2017.csv?__blob=publicationFile&amp;v=2</x:v>
      </x:c>
    </x:row>
    <x:row r="145" ht="24" customHeight="1">
      <x:c r="A145" s="6" t="str">
        <x:v>07111</x:v>
      </x:c>
      <x:c r="B145" s="2" t="str">
        <x:v>Koblenz, kreisfreie Stadt</x:v>
      </x:c>
      <x:c r="C145" s="2" t="n">
        <x:v>100</x:v>
      </x:c>
      <x:c r="D145" s="2" t="str">
        <x:v>Koblenz</x:v>
      </x:c>
      <x:c r="E145" s="8" t="n">
        <x:v>3241.517964071856</x:v>
      </x:c>
      <x:c r="F145" s="7" t="n">
        <x:v>51779</x:v>
      </x:c>
      <x:c r="G145" s="8" t="n">
        <x:f>E145*F145</x:f>
        <x:v>167842558.66167665</x:v>
      </x:c>
      <x:c r="H145" s="10" t="n">
        <x:f>F145/SUMIF($C$2:$C$403,C145,$F$2:$F$403)</x:f>
        <x:v>0.4233907895597567</x:v>
      </x:c>
      <x:c r="I145" s="2" t="str">
        <x:v>https://statistik.arbeitsagentur.de/Statistikdaten/Detail/201512/iiia6/beschaeftigung-entgelt-entgelt/entgelt-d-0-201512-xlsm.xlsm?__blob=publicationFile&amp;v=2</x:v>
      </x:c>
      <x:c r="J145" s="2" t="str">
        <x:v>https://statistik.arbeitsagentur.de/Statistikdaten/Detail/201512/iiia6/beschaeftigung-sozbe-svb-kreise-merkmale/svb-kreise-merkmale-d-0-201512-xlsx.xlsx?__blob=publicationFile&amp;v=1</x:v>
      </x:c>
      <x:c r="K145" s="2" t="str">
        <x:v>https://www.bbsr.bund.de/BBSR/DE/forschung/raumbeobachtung/Raumabgrenzungen/deutschland/regionen/arbeitsmarktregionen/arbeitsmarktregionen-2017.csv?__blob=publicationFile&amp;v=2</x:v>
      </x:c>
    </x:row>
    <x:row r="146" ht="24" customHeight="1">
      <x:c r="A146" s="6" t="str">
        <x:v>07131</x:v>
      </x:c>
      <x:c r="B146" s="2" t="str">
        <x:v>Ahrweiler</x:v>
      </x:c>
      <x:c r="C146" s="2" t="n">
        <x:v>99</x:v>
      </x:c>
      <x:c r="D146" s="2" t="str">
        <x:v>Ahrweiler</x:v>
      </x:c>
      <x:c r="E146" s="8" t="n">
        <x:v>2813.8211678832117</x:v>
      </x:c>
      <x:c r="F146" s="7" t="n">
        <x:v>22995</x:v>
      </x:c>
      <x:c r="G146" s="8" t="n">
        <x:f>E146*F146</x:f>
        <x:v>64703817.755474456</x:v>
      </x:c>
      <x:c r="H146" s="10" t="n">
        <x:f>F146/SUMIF($C$2:$C$403,C146,$F$2:$F$403)</x:f>
        <x:v>1</x:v>
      </x:c>
      <x:c r="I146" s="2" t="str">
        <x:v>https://statistik.arbeitsagentur.de/Statistikdaten/Detail/201512/iiia6/beschaeftigung-entgelt-entgelt/entgelt-d-0-201512-xlsm.xlsm?__blob=publicationFile&amp;v=2</x:v>
      </x:c>
      <x:c r="J146" s="2" t="str">
        <x:v>https://statistik.arbeitsagentur.de/Statistikdaten/Detail/201512/iiia6/beschaeftigung-sozbe-svb-kreise-merkmale/svb-kreise-merkmale-d-0-201512-xlsx.xlsx?__blob=publicationFile&amp;v=1</x:v>
      </x:c>
      <x:c r="K146" s="2" t="str">
        <x:v>https://www.bbsr.bund.de/BBSR/DE/forschung/raumbeobachtung/Raumabgrenzungen/deutschland/regionen/arbeitsmarktregionen/arbeitsmarktregionen-2017.csv?__blob=publicationFile&amp;v=2</x:v>
      </x:c>
    </x:row>
    <x:row r="147" ht="24" customHeight="1">
      <x:c r="A147" s="6" t="str">
        <x:v>07132</x:v>
      </x:c>
      <x:c r="B147" s="2" t="str">
        <x:v>Altenkirchen (Westerwald)</x:v>
      </x:c>
      <x:c r="C147" s="2" t="n">
        <x:v>96</x:v>
      </x:c>
      <x:c r="D147" s="2" t="str">
        <x:v>Altenkirchen</x:v>
      </x:c>
      <x:c r="E147" s="8" t="n">
        <x:v>2918.45154185022</x:v>
      </x:c>
      <x:c r="F147" s="7" t="n">
        <x:v>27152</x:v>
      </x:c>
      <x:c r="G147" s="8" t="n">
        <x:f>E147*F147</x:f>
        <x:v>79241796.26431717</x:v>
      </x:c>
      <x:c r="H147" s="10" t="n">
        <x:f>F147/SUMIF($C$2:$C$403,C147,$F$2:$F$403)</x:f>
        <x:v>1</x:v>
      </x:c>
      <x:c r="I147" s="2" t="str">
        <x:v>https://statistik.arbeitsagentur.de/Statistikdaten/Detail/201512/iiia6/beschaeftigung-entgelt-entgelt/entgelt-d-0-201512-xlsm.xlsm?__blob=publicationFile&amp;v=2</x:v>
      </x:c>
      <x:c r="J147" s="2" t="str">
        <x:v>https://statistik.arbeitsagentur.de/Statistikdaten/Detail/201512/iiia6/beschaeftigung-sozbe-svb-kreise-merkmale/svb-kreise-merkmale-d-0-201512-xlsx.xlsx?__blob=publicationFile&amp;v=1</x:v>
      </x:c>
      <x:c r="K147" s="2" t="str">
        <x:v>https://www.bbsr.bund.de/BBSR/DE/forschung/raumbeobachtung/Raumabgrenzungen/deutschland/regionen/arbeitsmarktregionen/arbeitsmarktregionen-2017.csv?__blob=publicationFile&amp;v=2</x:v>
      </x:c>
    </x:row>
    <x:row r="148" ht="24" customHeight="1">
      <x:c r="A148" s="6" t="str">
        <x:v>07133</x:v>
      </x:c>
      <x:c r="B148" s="2" t="str">
        <x:v>Bad Kreuznach</x:v>
      </x:c>
      <x:c r="C148" s="2" t="n">
        <x:v>101</x:v>
      </x:c>
      <x:c r="D148" s="2" t="str">
        <x:v>Bad Kreuznach</x:v>
      </x:c>
      <x:c r="E148" s="8" t="n">
        <x:v>2998.55</x:v>
      </x:c>
      <x:c r="F148" s="7" t="n">
        <x:v>36287</x:v>
      </x:c>
      <x:c r="G148" s="8" t="n">
        <x:f>E148*F148</x:f>
        <x:v>108808383.85000001</x:v>
      </x:c>
      <x:c r="H148" s="10" t="n">
        <x:f>F148/SUMIF($C$2:$C$403,C148,$F$2:$F$403)</x:f>
        <x:v>1</x:v>
      </x:c>
      <x:c r="I148" s="2" t="str">
        <x:v>https://statistik.arbeitsagentur.de/Statistikdaten/Detail/201512/iiia6/beschaeftigung-entgelt-entgelt/entgelt-d-0-201512-xlsm.xlsm?__blob=publicationFile&amp;v=2</x:v>
      </x:c>
      <x:c r="J148" s="2" t="str">
        <x:v>https://statistik.arbeitsagentur.de/Statistikdaten/Detail/201512/iiia6/beschaeftigung-sozbe-svb-kreise-merkmale/svb-kreise-merkmale-d-0-201512-xlsx.xlsx?__blob=publicationFile&amp;v=1</x:v>
      </x:c>
      <x:c r="K148" s="2" t="str">
        <x:v>https://www.bbsr.bund.de/BBSR/DE/forschung/raumbeobachtung/Raumabgrenzungen/deutschland/regionen/arbeitsmarktregionen/arbeitsmarktregionen-2017.csv?__blob=publicationFile&amp;v=2</x:v>
      </x:c>
    </x:row>
    <x:row r="149" ht="24" customHeight="1">
      <x:c r="A149" s="6" t="str">
        <x:v>07134</x:v>
      </x:c>
      <x:c r="B149" s="2" t="str">
        <x:v>Birkenfeld</x:v>
      </x:c>
      <x:c r="C149" s="2" t="n">
        <x:v>102</x:v>
      </x:c>
      <x:c r="D149" s="2" t="str">
        <x:v>Idar-Oberstein</x:v>
      </x:c>
      <x:c r="E149" s="8" t="n">
        <x:v>2762.1438356164385</x:v>
      </x:c>
      <x:c r="F149" s="7" t="n">
        <x:v>18723</x:v>
      </x:c>
      <x:c r="G149" s="8" t="n">
        <x:f>E149*F149</x:f>
        <x:v>51715619.03424658</x:v>
      </x:c>
      <x:c r="H149" s="10" t="n">
        <x:f>F149/SUMIF($C$2:$C$403,C149,$F$2:$F$403)</x:f>
        <x:v>1</x:v>
      </x:c>
      <x:c r="I149" s="2" t="str">
        <x:v>https://statistik.arbeitsagentur.de/Statistikdaten/Detail/201512/iiia6/beschaeftigung-entgelt-entgelt/entgelt-d-0-201512-xlsm.xlsm?__blob=publicationFile&amp;v=2</x:v>
      </x:c>
      <x:c r="J149" s="2" t="str">
        <x:v>https://statistik.arbeitsagentur.de/Statistikdaten/Detail/201512/iiia6/beschaeftigung-sozbe-svb-kreise-merkmale/svb-kreise-merkmale-d-0-201512-xlsx.xlsx?__blob=publicationFile&amp;v=1</x:v>
      </x:c>
      <x:c r="K149" s="2" t="str">
        <x:v>https://www.bbsr.bund.de/BBSR/DE/forschung/raumbeobachtung/Raumabgrenzungen/deutschland/regionen/arbeitsmarktregionen/arbeitsmarktregionen-2017.csv?__blob=publicationFile&amp;v=2</x:v>
      </x:c>
    </x:row>
    <x:row r="150" ht="24" customHeight="1">
      <x:c r="A150" s="6" t="str">
        <x:v>07135</x:v>
      </x:c>
      <x:c r="B150" s="2" t="str">
        <x:v>Cochem-Zell</x:v>
      </x:c>
      <x:c r="C150" s="2" t="n">
        <x:v>103</x:v>
      </x:c>
      <x:c r="D150" s="2" t="str">
        <x:v>Cochem</x:v>
      </x:c>
      <x:c r="E150" s="8" t="n">
        <x:v>2762.1161616161617</x:v>
      </x:c>
      <x:c r="F150" s="7" t="n">
        <x:v>11723</x:v>
      </x:c>
      <x:c r="G150" s="8" t="n">
        <x:f>E150*F150</x:f>
        <x:v>32380287.762626264</x:v>
      </x:c>
      <x:c r="H150" s="10" t="n">
        <x:f>F150/SUMIF($C$2:$C$403,C150,$F$2:$F$403)</x:f>
        <x:v>1</x:v>
      </x:c>
      <x:c r="I150" s="2" t="str">
        <x:v>https://statistik.arbeitsagentur.de/Statistikdaten/Detail/201512/iiia6/beschaeftigung-entgelt-entgelt/entgelt-d-0-201512-xlsm.xlsm?__blob=publicationFile&amp;v=2</x:v>
      </x:c>
      <x:c r="J150" s="2" t="str">
        <x:v>https://statistik.arbeitsagentur.de/Statistikdaten/Detail/201512/iiia6/beschaeftigung-sozbe-svb-kreise-merkmale/svb-kreise-merkmale-d-0-201512-xlsx.xlsx?__blob=publicationFile&amp;v=1</x:v>
      </x:c>
      <x:c r="K150" s="2" t="str">
        <x:v>https://www.bbsr.bund.de/BBSR/DE/forschung/raumbeobachtung/Raumabgrenzungen/deutschland/regionen/arbeitsmarktregionen/arbeitsmarktregionen-2017.csv?__blob=publicationFile&amp;v=2</x:v>
      </x:c>
    </x:row>
    <x:row r="151" ht="24" customHeight="1">
      <x:c r="A151" s="6" t="str">
        <x:v>07137</x:v>
      </x:c>
      <x:c r="B151" s="2" t="str">
        <x:v>Mayen-Koblenz</x:v>
      </x:c>
      <x:c r="C151" s="2" t="n">
        <x:v>100</x:v>
      </x:c>
      <x:c r="D151" s="2" t="str">
        <x:v>Koblenz</x:v>
      </x:c>
      <x:c r="E151" s="8" t="n">
        <x:v>2858.8453757225434</x:v>
      </x:c>
      <x:c r="F151" s="7" t="n">
        <x:v>48978</x:v>
      </x:c>
      <x:c r="G151" s="8" t="n">
        <x:f>E151*F151</x:f>
        <x:v>140020528.81213874</x:v>
      </x:c>
      <x:c r="H151" s="10" t="n">
        <x:f>F151/SUMIF($C$2:$C$403,C151,$F$2:$F$403)</x:f>
        <x:v>0.40048734218617127</x:v>
      </x:c>
      <x:c r="I151" s="2" t="str">
        <x:v>https://statistik.arbeitsagentur.de/Statistikdaten/Detail/201512/iiia6/beschaeftigung-entgelt-entgelt/entgelt-d-0-201512-xlsm.xlsm?__blob=publicationFile&amp;v=2</x:v>
      </x:c>
      <x:c r="J151" s="2" t="str">
        <x:v>https://statistik.arbeitsagentur.de/Statistikdaten/Detail/201512/iiia6/beschaeftigung-sozbe-svb-kreise-merkmale/svb-kreise-merkmale-d-0-201512-xlsx.xlsx?__blob=publicationFile&amp;v=1</x:v>
      </x:c>
      <x:c r="K151" s="2" t="str">
        <x:v>https://www.bbsr.bund.de/BBSR/DE/forschung/raumbeobachtung/Raumabgrenzungen/deutschland/regionen/arbeitsmarktregionen/arbeitsmarktregionen-2017.csv?__blob=publicationFile&amp;v=2</x:v>
      </x:c>
    </x:row>
    <x:row r="152" ht="24" customHeight="1">
      <x:c r="A152" s="6" t="str">
        <x:v>07138</x:v>
      </x:c>
      <x:c r="B152" s="2" t="str">
        <x:v>Neuwied</x:v>
      </x:c>
      <x:c r="C152" s="2" t="n">
        <x:v>98</x:v>
      </x:c>
      <x:c r="D152" s="2" t="str">
        <x:v>Neuwied</x:v>
      </x:c>
      <x:c r="E152" s="8" t="n">
        <x:v>2978.163622526636</x:v>
      </x:c>
      <x:c r="F152" s="7" t="n">
        <x:v>42184</x:v>
      </x:c>
      <x:c r="G152" s="8" t="n">
        <x:f>E152*F152</x:f>
        <x:v>125630854.25266361</x:v>
      </x:c>
      <x:c r="H152" s="10" t="n">
        <x:f>F152/SUMIF($C$2:$C$403,C152,$F$2:$F$403)</x:f>
        <x:v>1</x:v>
      </x:c>
      <x:c r="I152" s="2" t="str">
        <x:v>https://statistik.arbeitsagentur.de/Statistikdaten/Detail/201512/iiia6/beschaeftigung-entgelt-entgelt/entgelt-d-0-201512-xlsm.xlsm?__blob=publicationFile&amp;v=2</x:v>
      </x:c>
      <x:c r="J152" s="2" t="str">
        <x:v>https://statistik.arbeitsagentur.de/Statistikdaten/Detail/201512/iiia6/beschaeftigung-sozbe-svb-kreise-merkmale/svb-kreise-merkmale-d-0-201512-xlsx.xlsx?__blob=publicationFile&amp;v=1</x:v>
      </x:c>
      <x:c r="K152" s="2" t="str">
        <x:v>https://www.bbsr.bund.de/BBSR/DE/forschung/raumbeobachtung/Raumabgrenzungen/deutschland/regionen/arbeitsmarktregionen/arbeitsmarktregionen-2017.csv?__blob=publicationFile&amp;v=2</x:v>
      </x:c>
    </x:row>
    <x:row r="153" ht="24" customHeight="1">
      <x:c r="A153" s="6" t="str">
        <x:v>07140</x:v>
      </x:c>
      <x:c r="B153" s="2" t="str">
        <x:v>Rhein-Hunsrück-Kreis</x:v>
      </x:c>
      <x:c r="C153" s="2" t="n">
        <x:v>104</x:v>
      </x:c>
      <x:c r="D153" s="2" t="str">
        <x:v>Simmern</x:v>
      </x:c>
      <x:c r="E153" s="8" t="n">
        <x:v>2871.391364902507</x:v>
      </x:c>
      <x:c r="F153" s="7" t="n">
        <x:v>25751</x:v>
      </x:c>
      <x:c r="G153" s="8" t="n">
        <x:f>E153*F153</x:f>
        <x:v>73941199.03760447</x:v>
      </x:c>
      <x:c r="H153" s="10" t="n">
        <x:f>F153/SUMIF($C$2:$C$403,C153,$F$2:$F$403)</x:f>
        <x:v>1</x:v>
      </x:c>
      <x:c r="I153" s="2" t="str">
        <x:v>https://statistik.arbeitsagentur.de/Statistikdaten/Detail/201512/iiia6/beschaeftigung-entgelt-entgelt/entgelt-d-0-201512-xlsm.xlsm?__blob=publicationFile&amp;v=2</x:v>
      </x:c>
      <x:c r="J153" s="2" t="str">
        <x:v>https://statistik.arbeitsagentur.de/Statistikdaten/Detail/201512/iiia6/beschaeftigung-sozbe-svb-kreise-merkmale/svb-kreise-merkmale-d-0-201512-xlsx.xlsx?__blob=publicationFile&amp;v=1</x:v>
      </x:c>
      <x:c r="K153" s="2" t="str">
        <x:v>https://www.bbsr.bund.de/BBSR/DE/forschung/raumbeobachtung/Raumabgrenzungen/deutschland/regionen/arbeitsmarktregionen/arbeitsmarktregionen-2017.csv?__blob=publicationFile&amp;v=2</x:v>
      </x:c>
    </x:row>
    <x:row r="154" ht="24" customHeight="1">
      <x:c r="A154" s="6" t="str">
        <x:v>07141</x:v>
      </x:c>
      <x:c r="B154" s="2" t="str">
        <x:v>Rhein-Lahn-Kreis</x:v>
      </x:c>
      <x:c r="C154" s="2" t="n">
        <x:v>100</x:v>
      </x:c>
      <x:c r="D154" s="2" t="str">
        <x:v>Koblenz</x:v>
      </x:c>
      <x:c r="E154" s="8" t="n">
        <x:v>2895.162162162162</x:v>
      </x:c>
      <x:c r="F154" s="7" t="n">
        <x:v>21539</x:v>
      </x:c>
      <x:c r="G154" s="8" t="n">
        <x:f>E154*F154</x:f>
        <x:v>62358897.81081081</x:v>
      </x:c>
      <x:c r="H154" s="10" t="n">
        <x:f>F154/SUMIF($C$2:$C$403,C154,$F$2:$F$403)</x:f>
        <x:v>0.17612186825407208</x:v>
      </x:c>
      <x:c r="I154" s="2" t="str">
        <x:v>https://statistik.arbeitsagentur.de/Statistikdaten/Detail/201512/iiia6/beschaeftigung-entgelt-entgelt/entgelt-d-0-201512-xlsm.xlsm?__blob=publicationFile&amp;v=2</x:v>
      </x:c>
      <x:c r="J154" s="2" t="str">
        <x:v>https://statistik.arbeitsagentur.de/Statistikdaten/Detail/201512/iiia6/beschaeftigung-sozbe-svb-kreise-merkmale/svb-kreise-merkmale-d-0-201512-xlsx.xlsx?__blob=publicationFile&amp;v=1</x:v>
      </x:c>
      <x:c r="K154" s="2" t="str">
        <x:v>https://www.bbsr.bund.de/BBSR/DE/forschung/raumbeobachtung/Raumabgrenzungen/deutschland/regionen/arbeitsmarktregionen/arbeitsmarktregionen-2017.csv?__blob=publicationFile&amp;v=2</x:v>
      </x:c>
    </x:row>
    <x:row r="155" ht="24" customHeight="1">
      <x:c r="A155" s="6" t="str">
        <x:v>07143</x:v>
      </x:c>
      <x:c r="B155" s="2" t="str">
        <x:v>Westerwaldkreis</x:v>
      </x:c>
      <x:c r="C155" s="2" t="n">
        <x:v>97</x:v>
      </x:c>
      <x:c r="D155" s="2" t="str">
        <x:v>Montabaur</x:v>
      </x:c>
      <x:c r="E155" s="8" t="n">
        <x:v>2853.614285714286</x:v>
      </x:c>
      <x:c r="F155" s="7" t="n">
        <x:v>48754</x:v>
      </x:c>
      <x:c r="G155" s="8" t="n">
        <x:f>E155*F155</x:f>
        <x:v>139125110.8857143</x:v>
      </x:c>
      <x:c r="H155" s="10" t="n">
        <x:f>F155/SUMIF($C$2:$C$403,C155,$F$2:$F$403)</x:f>
        <x:v>1</x:v>
      </x:c>
      <x:c r="I155" s="2" t="str">
        <x:v>https://statistik.arbeitsagentur.de/Statistikdaten/Detail/201512/iiia6/beschaeftigung-entgelt-entgelt/entgelt-d-0-201512-xlsm.xlsm?__blob=publicationFile&amp;v=2</x:v>
      </x:c>
      <x:c r="J155" s="2" t="str">
        <x:v>https://statistik.arbeitsagentur.de/Statistikdaten/Detail/201512/iiia6/beschaeftigung-sozbe-svb-kreise-merkmale/svb-kreise-merkmale-d-0-201512-xlsx.xlsx?__blob=publicationFile&amp;v=1</x:v>
      </x:c>
      <x:c r="K155" s="2" t="str">
        <x:v>https://www.bbsr.bund.de/BBSR/DE/forschung/raumbeobachtung/Raumabgrenzungen/deutschland/regionen/arbeitsmarktregionen/arbeitsmarktregionen-2017.csv?__blob=publicationFile&amp;v=2</x:v>
      </x:c>
    </x:row>
    <x:row r="156" ht="24" customHeight="1">
      <x:c r="A156" s="6" t="str">
        <x:v>07211</x:v>
      </x:c>
      <x:c r="B156" s="2" t="str">
        <x:v>Trier, kreisfreie Stadt</x:v>
      </x:c>
      <x:c r="C156" s="2" t="n">
        <x:v>105</x:v>
      </x:c>
      <x:c r="D156" s="2" t="str">
        <x:v>Trier</x:v>
      </x:c>
      <x:c r="E156" s="8" t="n">
        <x:v>3057.04296875</x:v>
      </x:c>
      <x:c r="F156" s="7" t="n">
        <x:v>37540</x:v>
      </x:c>
      <x:c r="G156" s="8" t="n">
        <x:f>E156*F156</x:f>
        <x:v>114761393.046875</x:v>
      </x:c>
      <x:c r="H156" s="10" t="n">
        <x:f>F156/SUMIF($C$2:$C$403,C156,$F$2:$F$403)</x:f>
        <x:v>0.6361525817220518</x:v>
      </x:c>
      <x:c r="I156" s="2" t="str">
        <x:v>https://statistik.arbeitsagentur.de/Statistikdaten/Detail/201512/iiia6/beschaeftigung-entgelt-entgelt/entgelt-d-0-201512-xlsm.xlsm?__blob=publicationFile&amp;v=2</x:v>
      </x:c>
      <x:c r="J156" s="2" t="str">
        <x:v>https://statistik.arbeitsagentur.de/Statistikdaten/Detail/201512/iiia6/beschaeftigung-sozbe-svb-kreise-merkmale/svb-kreise-merkmale-d-0-201512-xlsx.xlsx?__blob=publicationFile&amp;v=1</x:v>
      </x:c>
      <x:c r="K156" s="2" t="str">
        <x:v>https://www.bbsr.bund.de/BBSR/DE/forschung/raumbeobachtung/Raumabgrenzungen/deutschland/regionen/arbeitsmarktregionen/arbeitsmarktregionen-2017.csv?__blob=publicationFile&amp;v=2</x:v>
      </x:c>
    </x:row>
    <x:row r="157" ht="24" customHeight="1">
      <x:c r="A157" s="6" t="str">
        <x:v>07231</x:v>
      </x:c>
      <x:c r="B157" s="2" t="str">
        <x:v>Bernkastel-Wittlich</x:v>
      </x:c>
      <x:c r="C157" s="2" t="n">
        <x:v>106</x:v>
      </x:c>
      <x:c r="D157" s="2" t="str">
        <x:v>Bernkastel-Wittlich</x:v>
      </x:c>
      <x:c r="E157" s="8" t="n">
        <x:v>2808.9653465346537</x:v>
      </x:c>
      <x:c r="F157" s="7" t="n">
        <x:v>28264</x:v>
      </x:c>
      <x:c r="G157" s="8" t="n">
        <x:f>E157*F157</x:f>
        <x:v>79392596.55445546</x:v>
      </x:c>
      <x:c r="H157" s="10" t="n">
        <x:f>F157/SUMIF($C$2:$C$403,C157,$F$2:$F$403)</x:f>
        <x:v>1</x:v>
      </x:c>
      <x:c r="I157" s="2" t="str">
        <x:v>https://statistik.arbeitsagentur.de/Statistikdaten/Detail/201512/iiia6/beschaeftigung-entgelt-entgelt/entgelt-d-0-201512-xlsm.xlsm?__blob=publicationFile&amp;v=2</x:v>
      </x:c>
      <x:c r="J157" s="2" t="str">
        <x:v>https://statistik.arbeitsagentur.de/Statistikdaten/Detail/201512/iiia6/beschaeftigung-sozbe-svb-kreise-merkmale/svb-kreise-merkmale-d-0-201512-xlsx.xlsx?__blob=publicationFile&amp;v=1</x:v>
      </x:c>
      <x:c r="K157" s="2" t="str">
        <x:v>https://www.bbsr.bund.de/BBSR/DE/forschung/raumbeobachtung/Raumabgrenzungen/deutschland/regionen/arbeitsmarktregionen/arbeitsmarktregionen-2017.csv?__blob=publicationFile&amp;v=2</x:v>
      </x:c>
    </x:row>
    <x:row r="158" ht="24" customHeight="1">
      <x:c r="A158" s="6" t="str">
        <x:v>07232</x:v>
      </x:c>
      <x:c r="B158" s="2" t="str">
        <x:v>Eifelkreis Bitburg-Prüm</x:v>
      </x:c>
      <x:c r="C158" s="2" t="n">
        <x:v>108</x:v>
      </x:c>
      <x:c r="D158" s="2" t="str">
        <x:v>Bitburg</x:v>
      </x:c>
      <x:c r="E158" s="8" t="n">
        <x:v>2968.0409836065573</x:v>
      </x:c>
      <x:c r="F158" s="7" t="n">
        <x:v>20425</x:v>
      </x:c>
      <x:c r="G158" s="8" t="n">
        <x:f>E158*F158</x:f>
        <x:v>60622237.09016393</x:v>
      </x:c>
      <x:c r="H158" s="10" t="n">
        <x:f>F158/SUMIF($C$2:$C$403,C158,$F$2:$F$403)</x:f>
        <x:v>1</x:v>
      </x:c>
      <x:c r="I158" s="2" t="str">
        <x:v>https://statistik.arbeitsagentur.de/Statistikdaten/Detail/201512/iiia6/beschaeftigung-entgelt-entgelt/entgelt-d-0-201512-xlsm.xlsm?__blob=publicationFile&amp;v=2</x:v>
      </x:c>
      <x:c r="J158" s="2" t="str">
        <x:v>https://statistik.arbeitsagentur.de/Statistikdaten/Detail/201512/iiia6/beschaeftigung-sozbe-svb-kreise-merkmale/svb-kreise-merkmale-d-0-201512-xlsx.xlsx?__blob=publicationFile&amp;v=1</x:v>
      </x:c>
      <x:c r="K158" s="2" t="str">
        <x:v>https://www.bbsr.bund.de/BBSR/DE/forschung/raumbeobachtung/Raumabgrenzungen/deutschland/regionen/arbeitsmarktregionen/arbeitsmarktregionen-2017.csv?__blob=publicationFile&amp;v=2</x:v>
      </x:c>
    </x:row>
    <x:row r="159" ht="24" customHeight="1">
      <x:c r="A159" s="6" t="str">
        <x:v>07233</x:v>
      </x:c>
      <x:c r="B159" s="2" t="str">
        <x:v>Vulkaneifel</x:v>
      </x:c>
      <x:c r="C159" s="2" t="n">
        <x:v>107</x:v>
      </x:c>
      <x:c r="D159" s="2" t="str">
        <x:v>Daun</x:v>
      </x:c>
      <x:c r="E159" s="8" t="n">
        <x:v>2795.3581560283687</x:v>
      </x:c>
      <x:c r="F159" s="7" t="n">
        <x:v>14214</x:v>
      </x:c>
      <x:c r="G159" s="8" t="n">
        <x:f>E159*F159</x:f>
        <x:v>39733220.82978723</x:v>
      </x:c>
      <x:c r="H159" s="10" t="n">
        <x:f>F159/SUMIF($C$2:$C$403,C159,$F$2:$F$403)</x:f>
        <x:v>1</x:v>
      </x:c>
      <x:c r="I159" s="2" t="str">
        <x:v>https://statistik.arbeitsagentur.de/Statistikdaten/Detail/201512/iiia6/beschaeftigung-entgelt-entgelt/entgelt-d-0-201512-xlsm.xlsm?__blob=publicationFile&amp;v=2</x:v>
      </x:c>
      <x:c r="J159" s="2" t="str">
        <x:v>https://statistik.arbeitsagentur.de/Statistikdaten/Detail/201512/iiia6/beschaeftigung-sozbe-svb-kreise-merkmale/svb-kreise-merkmale-d-0-201512-xlsx.xlsx?__blob=publicationFile&amp;v=1</x:v>
      </x:c>
      <x:c r="K159" s="2" t="str">
        <x:v>https://www.bbsr.bund.de/BBSR/DE/forschung/raumbeobachtung/Raumabgrenzungen/deutschland/regionen/arbeitsmarktregionen/arbeitsmarktregionen-2017.csv?__blob=publicationFile&amp;v=2</x:v>
      </x:c>
    </x:row>
    <x:row r="160" ht="24" customHeight="1">
      <x:c r="A160" s="6" t="str">
        <x:v>07235</x:v>
      </x:c>
      <x:c r="B160" s="2" t="str">
        <x:v>Trier-Saarburg</x:v>
      </x:c>
      <x:c r="C160" s="2" t="n">
        <x:v>105</x:v>
      </x:c>
      <x:c r="D160" s="2" t="str">
        <x:v>Trier</x:v>
      </x:c>
      <x:c r="E160" s="8" t="n">
        <x:v>2772.3908629441626</x:v>
      </x:c>
      <x:c r="F160" s="7" t="n">
        <x:v>21471</x:v>
      </x:c>
      <x:c r="G160" s="8" t="n">
        <x:f>E160*F160</x:f>
        <x:v>59526004.21827412</x:v>
      </x:c>
      <x:c r="H160" s="10" t="n">
        <x:f>F160/SUMIF($C$2:$C$403,C160,$F$2:$F$403)</x:f>
        <x:v>0.3638474182779482</x:v>
      </x:c>
      <x:c r="I160" s="2" t="str">
        <x:v>https://statistik.arbeitsagentur.de/Statistikdaten/Detail/201512/iiia6/beschaeftigung-entgelt-entgelt/entgelt-d-0-201512-xlsm.xlsm?__blob=publicationFile&amp;v=2</x:v>
      </x:c>
      <x:c r="J160" s="2" t="str">
        <x:v>https://statistik.arbeitsagentur.de/Statistikdaten/Detail/201512/iiia6/beschaeftigung-sozbe-svb-kreise-merkmale/svb-kreise-merkmale-d-0-201512-xlsx.xlsx?__blob=publicationFile&amp;v=1</x:v>
      </x:c>
      <x:c r="K160" s="2" t="str">
        <x:v>https://www.bbsr.bund.de/BBSR/DE/forschung/raumbeobachtung/Raumabgrenzungen/deutschland/regionen/arbeitsmarktregionen/arbeitsmarktregionen-2017.csv?__blob=publicationFile&amp;v=2</x:v>
      </x:c>
    </x:row>
    <x:row r="161" ht="24" customHeight="1">
      <x:c r="A161" s="6" t="str">
        <x:v>07311</x:v>
      </x:c>
      <x:c r="B161" s="2" t="str">
        <x:v>Frankenthal (Pfalz), kr.f. St.</x:v>
      </x:c>
      <x:c r="C161" s="2" t="n">
        <x:v>114</x:v>
      </x:c>
      <x:c r="D161" s="2" t="str">
        <x:v>Ludwigshafen</x:v>
      </x:c>
      <x:c r="E161" s="8" t="n">
        <x:v>3417.342105263158</x:v>
      </x:c>
      <x:c r="F161" s="7" t="n">
        <x:v>11866</x:v>
      </x:c>
      <x:c r="G161" s="8" t="n">
        <x:f>E161*F161</x:f>
        <x:v>40550181.421052635</x:v>
      </x:c>
      <x:c r="H161" s="10" t="n">
        <x:f>F161/SUMIF($C$2:$C$403,C161,$F$2:$F$403)</x:f>
        <x:v>0.07378481398342236</x:v>
      </x:c>
      <x:c r="I161" s="2" t="str">
        <x:v>https://statistik.arbeitsagentur.de/Statistikdaten/Detail/201512/iiia6/beschaeftigung-entgelt-entgelt/entgelt-d-0-201512-xlsm.xlsm?__blob=publicationFile&amp;v=2</x:v>
      </x:c>
      <x:c r="J161" s="2" t="str">
        <x:v>https://statistik.arbeitsagentur.de/Statistikdaten/Detail/201512/iiia6/beschaeftigung-sozbe-svb-kreise-merkmale/svb-kreise-merkmale-d-0-201512-xlsx.xlsx?__blob=publicationFile&amp;v=1</x:v>
      </x:c>
      <x:c r="K161" s="2" t="str">
        <x:v>https://www.bbsr.bund.de/BBSR/DE/forschung/raumbeobachtung/Raumabgrenzungen/deutschland/regionen/arbeitsmarktregionen/arbeitsmarktregionen-2017.csv?__blob=publicationFile&amp;v=2</x:v>
      </x:c>
    </x:row>
    <x:row r="162" ht="24" customHeight="1">
      <x:c r="A162" s="6" t="str">
        <x:v>07312</x:v>
      </x:c>
      <x:c r="B162" s="2" t="str">
        <x:v>Kaiserslautern, kreisfr. Stadt</x:v>
      </x:c>
      <x:c r="C162" s="2" t="n">
        <x:v>109</x:v>
      </x:c>
      <x:c r="D162" s="2" t="str">
        <x:v>Kaiserslautern</x:v>
      </x:c>
      <x:c r="E162" s="8" t="n">
        <x:v>3289.6221374045804</x:v>
      </x:c>
      <x:c r="F162" s="7" t="n">
        <x:v>36954</x:v>
      </x:c>
      <x:c r="G162" s="8" t="n">
        <x:f>E162*F162</x:f>
        <x:v>121564696.46564886</x:v>
      </x:c>
      <x:c r="H162" s="10" t="n">
        <x:f>F162/SUMIF($C$2:$C$403,C162,$F$2:$F$403)</x:f>
        <x:v>0.4743652281071089</x:v>
      </x:c>
      <x:c r="I162" s="2" t="str">
        <x:v>https://statistik.arbeitsagentur.de/Statistikdaten/Detail/201512/iiia6/beschaeftigung-entgelt-entgelt/entgelt-d-0-201512-xlsm.xlsm?__blob=publicationFile&amp;v=2</x:v>
      </x:c>
      <x:c r="J162" s="2" t="str">
        <x:v>https://statistik.arbeitsagentur.de/Statistikdaten/Detail/201512/iiia6/beschaeftigung-sozbe-svb-kreise-merkmale/svb-kreise-merkmale-d-0-201512-xlsx.xlsx?__blob=publicationFile&amp;v=1</x:v>
      </x:c>
      <x:c r="K162" s="2" t="str">
        <x:v>https://www.bbsr.bund.de/BBSR/DE/forschung/raumbeobachtung/Raumabgrenzungen/deutschland/regionen/arbeitsmarktregionen/arbeitsmarktregionen-2017.csv?__blob=publicationFile&amp;v=2</x:v>
      </x:c>
    </x:row>
    <x:row r="163" ht="24" customHeight="1">
      <x:c r="A163" s="6" t="str">
        <x:v>07313</x:v>
      </x:c>
      <x:c r="B163" s="2" t="str">
        <x:v>Landau in der Pfalz, kr.f. St.</x:v>
      </x:c>
      <x:c r="C163" s="2" t="n">
        <x:v>110</x:v>
      </x:c>
      <x:c r="D163" s="2" t="str">
        <x:v>Landau</x:v>
      </x:c>
      <x:c r="E163" s="8" t="n">
        <x:v>2883.595238095238</x:v>
      </x:c>
      <x:c r="F163" s="7" t="n">
        <x:v>14342</x:v>
      </x:c>
      <x:c r="G163" s="8" t="n">
        <x:f>E163*F163</x:f>
        <x:v>41356522.9047619</x:v>
      </x:c>
      <x:c r="H163" s="10" t="n">
        <x:f>F163/SUMIF($C$2:$C$403,C163,$F$2:$F$403)</x:f>
        <x:v>0.4135047860685042</x:v>
      </x:c>
      <x:c r="I163" s="2" t="str">
        <x:v>https://statistik.arbeitsagentur.de/Statistikdaten/Detail/201512/iiia6/beschaeftigung-entgelt-entgelt/entgelt-d-0-201512-xlsm.xlsm?__blob=publicationFile&amp;v=2</x:v>
      </x:c>
      <x:c r="J163" s="2" t="str">
        <x:v>https://statistik.arbeitsagentur.de/Statistikdaten/Detail/201512/iiia6/beschaeftigung-sozbe-svb-kreise-merkmale/svb-kreise-merkmale-d-0-201512-xlsx.xlsx?__blob=publicationFile&amp;v=1</x:v>
      </x:c>
      <x:c r="K163" s="2" t="str">
        <x:v>https://www.bbsr.bund.de/BBSR/DE/forschung/raumbeobachtung/Raumabgrenzungen/deutschland/regionen/arbeitsmarktregionen/arbeitsmarktregionen-2017.csv?__blob=publicationFile&amp;v=2</x:v>
      </x:c>
    </x:row>
    <x:row r="164" ht="24" customHeight="1">
      <x:c r="A164" s="6" t="str">
        <x:v>07314</x:v>
      </x:c>
      <x:c r="B164" s="2" t="str">
        <x:v>Ludwigshafen am Rhein, Stadt</x:v>
      </x:c>
      <x:c r="C164" s="2" t="n">
        <x:v>114</x:v>
      </x:c>
      <x:c r="D164" s="2" t="str">
        <x:v>Ludwigshafen</x:v>
      </x:c>
      <x:c r="E164" s="8" t="n">
        <x:v>4496.400974025974</x:v>
      </x:c>
      <x:c r="F164" s="7" t="n">
        <x:v>78771</x:v>
      </x:c>
      <x:c r="G164" s="8" t="n">
        <x:f>E164*F164</x:f>
        <x:v>354186001.125</x:v>
      </x:c>
      <x:c r="H164" s="10" t="n">
        <x:f>F164/SUMIF($C$2:$C$403,C164,$F$2:$F$403)</x:f>
        <x:v>0.4898115272449151</x:v>
      </x:c>
      <x:c r="I164" s="2" t="str">
        <x:v>https://statistik.arbeitsagentur.de/Statistikdaten/Detail/201512/iiia6/beschaeftigung-entgelt-entgelt/entgelt-d-0-201512-xlsm.xlsm?__blob=publicationFile&amp;v=2</x:v>
      </x:c>
      <x:c r="J164" s="2" t="str">
        <x:v>https://statistik.arbeitsagentur.de/Statistikdaten/Detail/201512/iiia6/beschaeftigung-sozbe-svb-kreise-merkmale/svb-kreise-merkmale-d-0-201512-xlsx.xlsx?__blob=publicationFile&amp;v=1</x:v>
      </x:c>
      <x:c r="K164" s="2" t="str">
        <x:v>https://www.bbsr.bund.de/BBSR/DE/forschung/raumbeobachtung/Raumabgrenzungen/deutschland/regionen/arbeitsmarktregionen/arbeitsmarktregionen-2017.csv?__blob=publicationFile&amp;v=2</x:v>
      </x:c>
    </x:row>
    <x:row r="165" ht="24" customHeight="1">
      <x:c r="A165" s="6" t="str">
        <x:v>07315</x:v>
      </x:c>
      <x:c r="B165" s="2" t="str">
        <x:v>Mainz, kreisfreie Stadt</x:v>
      </x:c>
      <x:c r="C165" s="2" t="n">
        <x:v>111</x:v>
      </x:c>
      <x:c r="D165" s="2" t="str">
        <x:v>Mainz</x:v>
      </x:c>
      <x:c r="E165" s="8" t="n">
        <x:v>3465.8622250970247</x:v>
      </x:c>
      <x:c r="F165" s="7" t="n">
        <x:v>75914</x:v>
      </x:c>
      <x:c r="G165" s="8" t="n">
        <x:f>E165*F165</x:f>
        <x:v>263107464.95601553</x:v>
      </x:c>
      <x:c r="H165" s="10" t="n">
        <x:f>F165/SUMIF($C$2:$C$403,C165,$F$2:$F$403)</x:f>
        <x:v>0.6690757176474735</x:v>
      </x:c>
      <x:c r="I165" s="2" t="str">
        <x:v>https://statistik.arbeitsagentur.de/Statistikdaten/Detail/201512/iiia6/beschaeftigung-entgelt-entgelt/entgelt-d-0-201512-xlsm.xlsm?__blob=publicationFile&amp;v=2</x:v>
      </x:c>
      <x:c r="J165" s="2" t="str">
        <x:v>https://statistik.arbeitsagentur.de/Statistikdaten/Detail/201512/iiia6/beschaeftigung-sozbe-svb-kreise-merkmale/svb-kreise-merkmale-d-0-201512-xlsx.xlsx?__blob=publicationFile&amp;v=1</x:v>
      </x:c>
      <x:c r="K165" s="2" t="str">
        <x:v>https://www.bbsr.bund.de/BBSR/DE/forschung/raumbeobachtung/Raumabgrenzungen/deutschland/regionen/arbeitsmarktregionen/arbeitsmarktregionen-2017.csv?__blob=publicationFile&amp;v=2</x:v>
      </x:c>
    </x:row>
    <x:row r="166" ht="24" customHeight="1">
      <x:c r="A166" s="6" t="str">
        <x:v>07316</x:v>
      </x:c>
      <x:c r="B166" s="2" t="str">
        <x:v>Neustadt an der Weinstraße,St.</x:v>
      </x:c>
      <x:c r="C166" s="2" t="n">
        <x:v>114</x:v>
      </x:c>
      <x:c r="D166" s="2" t="str">
        <x:v>Ludwigshafen</x:v>
      </x:c>
      <x:c r="E166" s="8" t="n">
        <x:v>2791.14039408867</x:v>
      </x:c>
      <x:c r="F166" s="7" t="n">
        <x:v>11559</x:v>
      </x:c>
      <x:c r="G166" s="8" t="n">
        <x:f>E166*F166</x:f>
        <x:v>32262791.815270934</x:v>
      </x:c>
      <x:c r="H166" s="10" t="n">
        <x:f>F166/SUMIF($C$2:$C$403,C166,$F$2:$F$403)</x:f>
        <x:v>0.071875835566693</x:v>
      </x:c>
      <x:c r="I166" s="2" t="str">
        <x:v>https://statistik.arbeitsagentur.de/Statistikdaten/Detail/201512/iiia6/beschaeftigung-entgelt-entgelt/entgelt-d-0-201512-xlsm.xlsm?__blob=publicationFile&amp;v=2</x:v>
      </x:c>
      <x:c r="J166" s="2" t="str">
        <x:v>https://statistik.arbeitsagentur.de/Statistikdaten/Detail/201512/iiia6/beschaeftigung-sozbe-svb-kreise-merkmale/svb-kreise-merkmale-d-0-201512-xlsx.xlsx?__blob=publicationFile&amp;v=1</x:v>
      </x:c>
      <x:c r="K166" s="2" t="str">
        <x:v>https://www.bbsr.bund.de/BBSR/DE/forschung/raumbeobachtung/Raumabgrenzungen/deutschland/regionen/arbeitsmarktregionen/arbeitsmarktregionen-2017.csv?__blob=publicationFile&amp;v=2</x:v>
      </x:c>
    </x:row>
    <x:row r="167" ht="24" customHeight="1">
      <x:c r="A167" s="6" t="str">
        <x:v>07317</x:v>
      </x:c>
      <x:c r="B167" s="2" t="str">
        <x:v>Pirmasens, kreisfreie Stadt</x:v>
      </x:c>
      <x:c r="C167" s="2" t="n">
        <x:v>113</x:v>
      </x:c>
      <x:c r="D167" s="2" t="str">
        <x:v>Pirmasens</x:v>
      </x:c>
      <x:c r="E167" s="8" t="n">
        <x:v>2933.7644628099174</x:v>
      </x:c>
      <x:c r="F167" s="7" t="n">
        <x:v>14483</x:v>
      </x:c>
      <x:c r="G167" s="8" t="n">
        <x:f>E167*F167</x:f>
        <x:v>42489710.71487603</x:v>
      </x:c>
      <x:c r="H167" s="10" t="n">
        <x:f>F167/SUMIF($C$2:$C$403,C167,$F$2:$F$403)</x:f>
        <x:v>0.4070659658787487</x:v>
      </x:c>
      <x:c r="I167" s="2" t="str">
        <x:v>https://statistik.arbeitsagentur.de/Statistikdaten/Detail/201512/iiia6/beschaeftigung-entgelt-entgelt/entgelt-d-0-201512-xlsm.xlsm?__blob=publicationFile&amp;v=2</x:v>
      </x:c>
      <x:c r="J167" s="2" t="str">
        <x:v>https://statistik.arbeitsagentur.de/Statistikdaten/Detail/201512/iiia6/beschaeftigung-sozbe-svb-kreise-merkmale/svb-kreise-merkmale-d-0-201512-xlsx.xlsx?__blob=publicationFile&amp;v=1</x:v>
      </x:c>
      <x:c r="K167" s="2" t="str">
        <x:v>https://www.bbsr.bund.de/BBSR/DE/forschung/raumbeobachtung/Raumabgrenzungen/deutschland/regionen/arbeitsmarktregionen/arbeitsmarktregionen-2017.csv?__blob=publicationFile&amp;v=2</x:v>
      </x:c>
    </x:row>
    <x:row r="168" ht="24" customHeight="1">
      <x:c r="A168" s="6" t="str">
        <x:v>07318</x:v>
      </x:c>
      <x:c r="B168" s="2" t="str">
        <x:v>Speyer, kreisfreie Stadt</x:v>
      </x:c>
      <x:c r="C168" s="2" t="n">
        <x:v>114</x:v>
      </x:c>
      <x:c r="D168" s="2" t="str">
        <x:v>Ludwigshafen</x:v>
      </x:c>
      <x:c r="E168" s="8" t="n">
        <x:v>3257.688498402556</x:v>
      </x:c>
      <x:c r="F168" s="7" t="n">
        <x:v>20030</x:v>
      </x:c>
      <x:c r="G168" s="8" t="n">
        <x:f>E168*F168</x:f>
        <x:v>65251500.6230032</x:v>
      </x:c>
      <x:c r="H168" s="10" t="n">
        <x:f>F168/SUMIF($C$2:$C$403,C168,$F$2:$F$403)</x:f>
        <x:v>0.12454995989279874</x:v>
      </x:c>
      <x:c r="I168" s="2" t="str">
        <x:v>https://statistik.arbeitsagentur.de/Statistikdaten/Detail/201512/iiia6/beschaeftigung-entgelt-entgelt/entgelt-d-0-201512-xlsm.xlsm?__blob=publicationFile&amp;v=2</x:v>
      </x:c>
      <x:c r="J168" s="2" t="str">
        <x:v>https://statistik.arbeitsagentur.de/Statistikdaten/Detail/201512/iiia6/beschaeftigung-sozbe-svb-kreise-merkmale/svb-kreise-merkmale-d-0-201512-xlsx.xlsx?__blob=publicationFile&amp;v=1</x:v>
      </x:c>
      <x:c r="K168" s="2" t="str">
        <x:v>https://www.bbsr.bund.de/BBSR/DE/forschung/raumbeobachtung/Raumabgrenzungen/deutschland/regionen/arbeitsmarktregionen/arbeitsmarktregionen-2017.csv?__blob=publicationFile&amp;v=2</x:v>
      </x:c>
    </x:row>
    <x:row r="169" ht="24" customHeight="1">
      <x:c r="A169" s="6" t="str">
        <x:v>07319</x:v>
      </x:c>
      <x:c r="B169" s="2" t="str">
        <x:v>Worms, kreisfreie Stadt</x:v>
      </x:c>
      <x:c r="C169" s="2" t="n">
        <x:v>112</x:v>
      </x:c>
      <x:c r="D169" s="2" t="str">
        <x:v>Alzey-Worms</x:v>
      </x:c>
      <x:c r="E169" s="8" t="n">
        <x:v>3026.0223880597014</x:v>
      </x:c>
      <x:c r="F169" s="7" t="n">
        <x:v>23595</x:v>
      </x:c>
      <x:c r="G169" s="8" t="n">
        <x:f>E169*F169</x:f>
        <x:v>71398998.24626866</x:v>
      </x:c>
      <x:c r="H169" s="10" t="n">
        <x:f>F169/SUMIF($C$2:$C$403,C169,$F$2:$F$403)</x:f>
        <x:v>0.5645412130637636</x:v>
      </x:c>
      <x:c r="I169" s="2" t="str">
        <x:v>https://statistik.arbeitsagentur.de/Statistikdaten/Detail/201512/iiia6/beschaeftigung-entgelt-entgelt/entgelt-d-0-201512-xlsm.xlsm?__blob=publicationFile&amp;v=2</x:v>
      </x:c>
      <x:c r="J169" s="2" t="str">
        <x:v>https://statistik.arbeitsagentur.de/Statistikdaten/Detail/201512/iiia6/beschaeftigung-sozbe-svb-kreise-merkmale/svb-kreise-merkmale-d-0-201512-xlsx.xlsx?__blob=publicationFile&amp;v=1</x:v>
      </x:c>
      <x:c r="K169" s="2" t="str">
        <x:v>https://www.bbsr.bund.de/BBSR/DE/forschung/raumbeobachtung/Raumabgrenzungen/deutschland/regionen/arbeitsmarktregionen/arbeitsmarktregionen-2017.csv?__blob=publicationFile&amp;v=2</x:v>
      </x:c>
    </x:row>
    <x:row r="170" ht="24" customHeight="1">
      <x:c r="A170" s="6" t="str">
        <x:v>07320</x:v>
      </x:c>
      <x:c r="B170" s="2" t="str">
        <x:v>Zweibrücken, kreisfreie Stadt</x:v>
      </x:c>
      <x:c r="C170" s="2" t="n">
        <x:v>113</x:v>
      </x:c>
      <x:c r="D170" s="2" t="str">
        <x:v>Pirmasens</x:v>
      </x:c>
      <x:c r="E170" s="8" t="n">
        <x:v>3242.55298013245</x:v>
      </x:c>
      <x:c r="F170" s="7" t="n">
        <x:v>11148</x:v>
      </x:c>
      <x:c r="G170" s="8" t="n">
        <x:f>E170*F170</x:f>
        <x:v>36147980.62251655</x:v>
      </x:c>
      <x:c r="H170" s="10" t="n">
        <x:f>F170/SUMIF($C$2:$C$403,C170,$F$2:$F$403)</x:f>
        <x:v>0.3133308974395008</x:v>
      </x:c>
      <x:c r="I170" s="2" t="str">
        <x:v>https://statistik.arbeitsagentur.de/Statistikdaten/Detail/201512/iiia6/beschaeftigung-entgelt-entgelt/entgelt-d-0-201512-xlsm.xlsm?__blob=publicationFile&amp;v=2</x:v>
      </x:c>
      <x:c r="J170" s="2" t="str">
        <x:v>https://statistik.arbeitsagentur.de/Statistikdaten/Detail/201512/iiia6/beschaeftigung-sozbe-svb-kreise-merkmale/svb-kreise-merkmale-d-0-201512-xlsx.xlsx?__blob=publicationFile&amp;v=1</x:v>
      </x:c>
      <x:c r="K170" s="2" t="str">
        <x:v>https://www.bbsr.bund.de/BBSR/DE/forschung/raumbeobachtung/Raumabgrenzungen/deutschland/regionen/arbeitsmarktregionen/arbeitsmarktregionen-2017.csv?__blob=publicationFile&amp;v=2</x:v>
      </x:c>
    </x:row>
    <x:row r="171" ht="24" customHeight="1">
      <x:c r="A171" s="6" t="str">
        <x:v>07331</x:v>
      </x:c>
      <x:c r="B171" s="2" t="str">
        <x:v>Alzey-Worms</x:v>
      </x:c>
      <x:c r="C171" s="2" t="n">
        <x:v>112</x:v>
      </x:c>
      <x:c r="D171" s="2" t="str">
        <x:v>Alzey-Worms</x:v>
      </x:c>
      <x:c r="E171" s="8" t="n">
        <x:v>2761.2371794871797</x:v>
      </x:c>
      <x:c r="F171" s="7" t="n">
        <x:v>18200</x:v>
      </x:c>
      <x:c r="G171" s="8" t="n">
        <x:f>E171*F171</x:f>
        <x:v>50254516.66666667</x:v>
      </x:c>
      <x:c r="H171" s="10" t="n">
        <x:f>F171/SUMIF($C$2:$C$403,C171,$F$2:$F$403)</x:f>
        <x:v>0.4354587869362364</x:v>
      </x:c>
      <x:c r="I171" s="2" t="str">
        <x:v>https://statistik.arbeitsagentur.de/Statistikdaten/Detail/201512/iiia6/beschaeftigung-entgelt-entgelt/entgelt-d-0-201512-xlsm.xlsm?__blob=publicationFile&amp;v=2</x:v>
      </x:c>
      <x:c r="J171" s="2" t="str">
        <x:v>https://statistik.arbeitsagentur.de/Statistikdaten/Detail/201512/iiia6/beschaeftigung-sozbe-svb-kreise-merkmale/svb-kreise-merkmale-d-0-201512-xlsx.xlsx?__blob=publicationFile&amp;v=1</x:v>
      </x:c>
      <x:c r="K171" s="2" t="str">
        <x:v>https://www.bbsr.bund.de/BBSR/DE/forschung/raumbeobachtung/Raumabgrenzungen/deutschland/regionen/arbeitsmarktregionen/arbeitsmarktregionen-2017.csv?__blob=publicationFile&amp;v=2</x:v>
      </x:c>
    </x:row>
    <x:row r="172" ht="24" customHeight="1">
      <x:c r="A172" s="6" t="str">
        <x:v>07332</x:v>
      </x:c>
      <x:c r="B172" s="2" t="str">
        <x:v>Bad Dürkheim</x:v>
      </x:c>
      <x:c r="C172" s="2" t="n">
        <x:v>114</x:v>
      </x:c>
      <x:c r="D172" s="2" t="str">
        <x:v>Ludwigshafen</x:v>
      </x:c>
      <x:c r="E172" s="8" t="n">
        <x:v>2841.17055393586</x:v>
      </x:c>
      <x:c r="F172" s="7" t="n">
        <x:v>20457</x:v>
      </x:c>
      <x:c r="G172" s="8" t="n">
        <x:f>E172*F172</x:f>
        <x:v>58121826.02186589</x:v>
      </x:c>
      <x:c r="H172" s="10" t="n">
        <x:f>F172/SUMIF($C$2:$C$403,C172,$F$2:$F$403)</x:f>
        <x:v>0.12720511879815197</x:v>
      </x:c>
      <x:c r="I172" s="2" t="str">
        <x:v>https://statistik.arbeitsagentur.de/Statistikdaten/Detail/201512/iiia6/beschaeftigung-entgelt-entgelt/entgelt-d-0-201512-xlsm.xlsm?__blob=publicationFile&amp;v=2</x:v>
      </x:c>
      <x:c r="J172" s="2" t="str">
        <x:v>https://statistik.arbeitsagentur.de/Statistikdaten/Detail/201512/iiia6/beschaeftigung-sozbe-svb-kreise-merkmale/svb-kreise-merkmale-d-0-201512-xlsx.xlsx?__blob=publicationFile&amp;v=1</x:v>
      </x:c>
      <x:c r="K172" s="2" t="str">
        <x:v>https://www.bbsr.bund.de/BBSR/DE/forschung/raumbeobachtung/Raumabgrenzungen/deutschland/regionen/arbeitsmarktregionen/arbeitsmarktregionen-2017.csv?__blob=publicationFile&amp;v=2</x:v>
      </x:c>
    </x:row>
    <x:row r="173" ht="24" customHeight="1">
      <x:c r="A173" s="6" t="str">
        <x:v>07333</x:v>
      </x:c>
      <x:c r="B173" s="2" t="str">
        <x:v>Donnersbergkreis</x:v>
      </x:c>
      <x:c r="C173" s="2" t="n">
        <x:v>109</x:v>
      </x:c>
      <x:c r="D173" s="2" t="str">
        <x:v>Kaiserslautern</x:v>
      </x:c>
      <x:c r="E173" s="8" t="n">
        <x:v>3289.084474885845</x:v>
      </x:c>
      <x:c r="F173" s="7" t="n">
        <x:v>15843</x:v>
      </x:c>
      <x:c r="G173" s="8" t="n">
        <x:f>E173*F173</x:f>
        <x:v>52108965.33561644</x:v>
      </x:c>
      <x:c r="H173" s="10" t="n">
        <x:f>F173/SUMIF($C$2:$C$403,C173,$F$2:$F$403)</x:f>
        <x:v>0.20337090190239018</x:v>
      </x:c>
      <x:c r="I173" s="2" t="str">
        <x:v>https://statistik.arbeitsagentur.de/Statistikdaten/Detail/201512/iiia6/beschaeftigung-entgelt-entgelt/entgelt-d-0-201512-xlsm.xlsm?__blob=publicationFile&amp;v=2</x:v>
      </x:c>
      <x:c r="J173" s="2" t="str">
        <x:v>https://statistik.arbeitsagentur.de/Statistikdaten/Detail/201512/iiia6/beschaeftigung-sozbe-svb-kreise-merkmale/svb-kreise-merkmale-d-0-201512-xlsx.xlsx?__blob=publicationFile&amp;v=1</x:v>
      </x:c>
      <x:c r="K173" s="2" t="str">
        <x:v>https://www.bbsr.bund.de/BBSR/DE/forschung/raumbeobachtung/Raumabgrenzungen/deutschland/regionen/arbeitsmarktregionen/arbeitsmarktregionen-2017.csv?__blob=publicationFile&amp;v=2</x:v>
      </x:c>
    </x:row>
    <x:row r="174" ht="24" customHeight="1">
      <x:c r="A174" s="6" t="str">
        <x:v>07334</x:v>
      </x:c>
      <x:c r="B174" s="2" t="str">
        <x:v>Germersheim</x:v>
      </x:c>
      <x:c r="C174" s="2" t="n">
        <x:v>115</x:v>
      </x:c>
      <x:c r="D174" s="2" t="str">
        <x:v>Germersheim</x:v>
      </x:c>
      <x:c r="E174" s="8" t="n">
        <x:v>3725.9854368932038</x:v>
      </x:c>
      <x:c r="F174" s="7" t="n">
        <x:v>32825</x:v>
      </x:c>
      <x:c r="G174" s="8" t="n">
        <x:f>E174*F174</x:f>
        <x:v>122305471.9660194</x:v>
      </x:c>
      <x:c r="H174" s="10" t="n">
        <x:f>F174/SUMIF($C$2:$C$403,C174,$F$2:$F$403)</x:f>
        <x:v>1</x:v>
      </x:c>
      <x:c r="I174" s="2" t="str">
        <x:v>https://statistik.arbeitsagentur.de/Statistikdaten/Detail/201512/iiia6/beschaeftigung-entgelt-entgelt/entgelt-d-0-201512-xlsm.xlsm?__blob=publicationFile&amp;v=2</x:v>
      </x:c>
      <x:c r="J174" s="2" t="str">
        <x:v>https://statistik.arbeitsagentur.de/Statistikdaten/Detail/201512/iiia6/beschaeftigung-sozbe-svb-kreise-merkmale/svb-kreise-merkmale-d-0-201512-xlsx.xlsx?__blob=publicationFile&amp;v=1</x:v>
      </x:c>
      <x:c r="K174" s="2" t="str">
        <x:v>https://www.bbsr.bund.de/BBSR/DE/forschung/raumbeobachtung/Raumabgrenzungen/deutschland/regionen/arbeitsmarktregionen/arbeitsmarktregionen-2017.csv?__blob=publicationFile&amp;v=2</x:v>
      </x:c>
    </x:row>
    <x:row r="175" ht="24" customHeight="1">
      <x:c r="A175" s="6" t="str">
        <x:v>07335</x:v>
      </x:c>
      <x:c r="B175" s="2" t="str">
        <x:v>Kaiserslautern</x:v>
      </x:c>
      <x:c r="C175" s="2" t="n">
        <x:v>109</x:v>
      </x:c>
      <x:c r="D175" s="2" t="str">
        <x:v>Kaiserslautern</x:v>
      </x:c>
      <x:c r="E175" s="8" t="n">
        <x:v>2795.1735395189003</x:v>
      </x:c>
      <x:c r="F175" s="7" t="n">
        <x:v>17312</x:v>
      </x:c>
      <x:c r="G175" s="8" t="n">
        <x:f>E175*F175</x:f>
        <x:v>48390044.3161512</x:v>
      </x:c>
      <x:c r="H175" s="10" t="n">
        <x:f>F175/SUMIF($C$2:$C$403,C175,$F$2:$F$403)</x:f>
        <x:v>0.22222792739595904</x:v>
      </x:c>
      <x:c r="I175" s="2" t="str">
        <x:v>https://statistik.arbeitsagentur.de/Statistikdaten/Detail/201512/iiia6/beschaeftigung-entgelt-entgelt/entgelt-d-0-201512-xlsm.xlsm?__blob=publicationFile&amp;v=2</x:v>
      </x:c>
      <x:c r="J175" s="2" t="str">
        <x:v>https://statistik.arbeitsagentur.de/Statistikdaten/Detail/201512/iiia6/beschaeftigung-sozbe-svb-kreise-merkmale/svb-kreise-merkmale-d-0-201512-xlsx.xlsx?__blob=publicationFile&amp;v=1</x:v>
      </x:c>
      <x:c r="K175" s="2" t="str">
        <x:v>https://www.bbsr.bund.de/BBSR/DE/forschung/raumbeobachtung/Raumabgrenzungen/deutschland/regionen/arbeitsmarktregionen/arbeitsmarktregionen-2017.csv?__blob=publicationFile&amp;v=2</x:v>
      </x:c>
    </x:row>
    <x:row r="176" ht="24" customHeight="1">
      <x:c r="A176" s="6" t="str">
        <x:v>07336</x:v>
      </x:c>
      <x:c r="B176" s="2" t="str">
        <x:v>Kusel</x:v>
      </x:c>
      <x:c r="C176" s="2" t="n">
        <x:v>109</x:v>
      </x:c>
      <x:c r="D176" s="2" t="str">
        <x:v>Kaiserslautern</x:v>
      </x:c>
      <x:c r="E176" s="8" t="n">
        <x:v>2756.321917808219</x:v>
      </x:c>
      <x:c r="F176" s="7" t="n">
        <x:v>7793</x:v>
      </x:c>
      <x:c r="G176" s="8" t="n">
        <x:f>E176*F176</x:f>
        <x:v>21480016.70547945</x:v>
      </x:c>
      <x:c r="H176" s="10" t="n">
        <x:f>F176/SUMIF($C$2:$C$403,C176,$F$2:$F$403)</x:f>
        <x:v>0.10003594259454186</x:v>
      </x:c>
      <x:c r="I176" s="2" t="str">
        <x:v>https://statistik.arbeitsagentur.de/Statistikdaten/Detail/201512/iiia6/beschaeftigung-entgelt-entgelt/entgelt-d-0-201512-xlsm.xlsm?__blob=publicationFile&amp;v=2</x:v>
      </x:c>
      <x:c r="J176" s="2" t="str">
        <x:v>https://statistik.arbeitsagentur.de/Statistikdaten/Detail/201512/iiia6/beschaeftigung-sozbe-svb-kreise-merkmale/svb-kreise-merkmale-d-0-201512-xlsx.xlsx?__blob=publicationFile&amp;v=1</x:v>
      </x:c>
      <x:c r="K176" s="2" t="str">
        <x:v>https://www.bbsr.bund.de/BBSR/DE/forschung/raumbeobachtung/Raumabgrenzungen/deutschland/regionen/arbeitsmarktregionen/arbeitsmarktregionen-2017.csv?__blob=publicationFile&amp;v=2</x:v>
      </x:c>
    </x:row>
    <x:row r="177" ht="24" customHeight="1">
      <x:c r="A177" s="6" t="str">
        <x:v>07337</x:v>
      </x:c>
      <x:c r="B177" s="2" t="str">
        <x:v>Südliche Weinstraße</x:v>
      </x:c>
      <x:c r="C177" s="2" t="n">
        <x:v>110</x:v>
      </x:c>
      <x:c r="D177" s="2" t="str">
        <x:v>Landau</x:v>
      </x:c>
      <x:c r="E177" s="8" t="n">
        <x:v>2834.6935483870966</x:v>
      </x:c>
      <x:c r="F177" s="7" t="n">
        <x:v>20342</x:v>
      </x:c>
      <x:c r="G177" s="8" t="n">
        <x:f>E177*F177</x:f>
        <x:v>57663336.16129032</x:v>
      </x:c>
      <x:c r="H177" s="10" t="n">
        <x:f>F177/SUMIF($C$2:$C$403,C177,$F$2:$F$403)</x:f>
        <x:v>0.5864952139314958</x:v>
      </x:c>
      <x:c r="I177" s="2" t="str">
        <x:v>https://statistik.arbeitsagentur.de/Statistikdaten/Detail/201512/iiia6/beschaeftigung-entgelt-entgelt/entgelt-d-0-201512-xlsm.xlsm?__blob=publicationFile&amp;v=2</x:v>
      </x:c>
      <x:c r="J177" s="2" t="str">
        <x:v>https://statistik.arbeitsagentur.de/Statistikdaten/Detail/201512/iiia6/beschaeftigung-sozbe-svb-kreise-merkmale/svb-kreise-merkmale-d-0-201512-xlsx.xlsx?__blob=publicationFile&amp;v=1</x:v>
      </x:c>
      <x:c r="K177" s="2" t="str">
        <x:v>https://www.bbsr.bund.de/BBSR/DE/forschung/raumbeobachtung/Raumabgrenzungen/deutschland/regionen/arbeitsmarktregionen/arbeitsmarktregionen-2017.csv?__blob=publicationFile&amp;v=2</x:v>
      </x:c>
    </x:row>
    <x:row r="178" ht="24" customHeight="1">
      <x:c r="A178" s="6" t="str">
        <x:v>07338</x:v>
      </x:c>
      <x:c r="B178" s="2" t="str">
        <x:v>Rhein-Pfalz-Kreis</x:v>
      </x:c>
      <x:c r="C178" s="2" t="n">
        <x:v>114</x:v>
      </x:c>
      <x:c r="D178" s="2" t="str">
        <x:v>Ludwigshafen</x:v>
      </x:c>
      <x:c r="E178" s="8" t="n">
        <x:v>2753.0229357798166</x:v>
      </x:c>
      <x:c r="F178" s="7" t="n">
        <x:v>18136</x:v>
      </x:c>
      <x:c r="G178" s="8" t="n">
        <x:f>E178*F178</x:f>
        <x:v>49928823.963302754</x:v>
      </x:c>
      <x:c r="H178" s="10" t="n">
        <x:f>F178/SUMIF($C$2:$C$403,C178,$F$2:$F$403)</x:f>
        <x:v>0.11277274451401886</x:v>
      </x:c>
      <x:c r="I178" s="2" t="str">
        <x:v>https://statistik.arbeitsagentur.de/Statistikdaten/Detail/201512/iiia6/beschaeftigung-entgelt-entgelt/entgelt-d-0-201512-xlsm.xlsm?__blob=publicationFile&amp;v=2</x:v>
      </x:c>
      <x:c r="J178" s="2" t="str">
        <x:v>https://statistik.arbeitsagentur.de/Statistikdaten/Detail/201512/iiia6/beschaeftigung-sozbe-svb-kreise-merkmale/svb-kreise-merkmale-d-0-201512-xlsx.xlsx?__blob=publicationFile&amp;v=1</x:v>
      </x:c>
      <x:c r="K178" s="2" t="str">
        <x:v>https://www.bbsr.bund.de/BBSR/DE/forschung/raumbeobachtung/Raumabgrenzungen/deutschland/regionen/arbeitsmarktregionen/arbeitsmarktregionen-2017.csv?__blob=publicationFile&amp;v=2</x:v>
      </x:c>
    </x:row>
    <x:row r="179" ht="24" customHeight="1">
      <x:c r="A179" s="6" t="str">
        <x:v>07339</x:v>
      </x:c>
      <x:c r="B179" s="2" t="str">
        <x:v>Mainz-Bingen</x:v>
      </x:c>
      <x:c r="C179" s="2" t="n">
        <x:v>111</x:v>
      </x:c>
      <x:c r="D179" s="2" t="str">
        <x:v>Mainz</x:v>
      </x:c>
      <x:c r="E179" s="8" t="n">
        <x:v>3213.616591928251</x:v>
      </x:c>
      <x:c r="F179" s="7" t="n">
        <x:v>37547</x:v>
      </x:c>
      <x:c r="G179" s="8" t="n">
        <x:f>E179*F179</x:f>
        <x:v>120661662.17713004</x:v>
      </x:c>
      <x:c r="H179" s="10" t="n">
        <x:f>F179/SUMIF($C$2:$C$403,C179,$F$2:$F$403)</x:f>
        <x:v>0.3309242823525264</x:v>
      </x:c>
      <x:c r="I179" s="2" t="str">
        <x:v>https://statistik.arbeitsagentur.de/Statistikdaten/Detail/201512/iiia6/beschaeftigung-entgelt-entgelt/entgelt-d-0-201512-xlsm.xlsm?__blob=publicationFile&amp;v=2</x:v>
      </x:c>
      <x:c r="J179" s="2" t="str">
        <x:v>https://statistik.arbeitsagentur.de/Statistikdaten/Detail/201512/iiia6/beschaeftigung-sozbe-svb-kreise-merkmale/svb-kreise-merkmale-d-0-201512-xlsx.xlsx?__blob=publicationFile&amp;v=1</x:v>
      </x:c>
      <x:c r="K179" s="2" t="str">
        <x:v>https://www.bbsr.bund.de/BBSR/DE/forschung/raumbeobachtung/Raumabgrenzungen/deutschland/regionen/arbeitsmarktregionen/arbeitsmarktregionen-2017.csv?__blob=publicationFile&amp;v=2</x:v>
      </x:c>
    </x:row>
    <x:row r="180" ht="24" customHeight="1">
      <x:c r="A180" s="6" t="str">
        <x:v>07340</x:v>
      </x:c>
      <x:c r="B180" s="2" t="str">
        <x:v>Südwestpfalz</x:v>
      </x:c>
      <x:c r="C180" s="2" t="n">
        <x:v>113</x:v>
      </x:c>
      <x:c r="D180" s="2" t="str">
        <x:v>Pirmasens</x:v>
      </x:c>
      <x:c r="E180" s="8" t="n">
        <x:v>2552.1666666666665</x:v>
      </x:c>
      <x:c r="F180" s="7" t="n">
        <x:v>9948</x:v>
      </x:c>
      <x:c r="G180" s="8" t="n">
        <x:f>E180*F180</x:f>
        <x:v>25388954</x:v>
      </x:c>
      <x:c r="H180" s="10" t="n">
        <x:f>F180/SUMIF($C$2:$C$403,C180,$F$2:$F$403)</x:f>
        <x:v>0.27960313668175046</x:v>
      </x:c>
      <x:c r="I180" s="2" t="str">
        <x:v>https://statistik.arbeitsagentur.de/Statistikdaten/Detail/201512/iiia6/beschaeftigung-entgelt-entgelt/entgelt-d-0-201512-xlsm.xlsm?__blob=publicationFile&amp;v=2</x:v>
      </x:c>
      <x:c r="J180" s="2" t="str">
        <x:v>https://statistik.arbeitsagentur.de/Statistikdaten/Detail/201512/iiia6/beschaeftigung-sozbe-svb-kreise-merkmale/svb-kreise-merkmale-d-0-201512-xlsx.xlsx?__blob=publicationFile&amp;v=1</x:v>
      </x:c>
      <x:c r="K180" s="2" t="str">
        <x:v>https://www.bbsr.bund.de/BBSR/DE/forschung/raumbeobachtung/Raumabgrenzungen/deutschland/regionen/arbeitsmarktregionen/arbeitsmarktregionen-2017.csv?__blob=publicationFile&amp;v=2</x:v>
      </x:c>
    </x:row>
    <x:row r="181" ht="24" customHeight="1">
      <x:c r="A181" s="6" t="str">
        <x:v>08111</x:v>
      </x:c>
      <x:c r="B181" s="2" t="str">
        <x:v>Stuttgart, Landeshauptstadt</x:v>
      </x:c>
      <x:c r="C181" s="2" t="n">
        <x:v>120</x:v>
      </x:c>
      <x:c r="D181" s="2" t="str">
        <x:v>Stuttgart</x:v>
      </x:c>
      <x:c r="E181" s="8" t="n">
        <x:v>4140.333737443713</x:v>
      </x:c>
      <x:c r="F181" s="7" t="n">
        <x:v>304612</x:v>
      </x:c>
      <x:c r="G181" s="8" t="n">
        <x:f>E181*F181</x:f>
        <x:v>1261195340.4302044</x:v>
      </x:c>
      <x:c r="H181" s="10" t="n">
        <x:f>F181/SUMIF($C$2:$C$403,C181,$F$2:$F$403)</x:f>
        <x:v>0.358868630509465</x:v>
      </x:c>
      <x:c r="I181" s="2" t="str">
        <x:v>https://statistik.arbeitsagentur.de/Statistikdaten/Detail/201512/iiia6/beschaeftigung-entgelt-entgelt/entgelt-d-0-201512-xlsm.xlsm?__blob=publicationFile&amp;v=2</x:v>
      </x:c>
      <x:c r="J181" s="2" t="str">
        <x:v>https://statistik.arbeitsagentur.de/Statistikdaten/Detail/201512/iiia6/beschaeftigung-sozbe-svb-kreise-merkmale/svb-kreise-merkmale-d-0-201512-xlsx.xlsx?__blob=publicationFile&amp;v=1</x:v>
      </x:c>
      <x:c r="K181" s="2" t="str">
        <x:v>https://www.bbsr.bund.de/BBSR/DE/forschung/raumbeobachtung/Raumabgrenzungen/deutschland/regionen/arbeitsmarktregionen/arbeitsmarktregionen-2017.csv?__blob=publicationFile&amp;v=2</x:v>
      </x:c>
    </x:row>
    <x:row r="182" ht="24" customHeight="1">
      <x:c r="A182" s="6" t="str">
        <x:v>08115</x:v>
      </x:c>
      <x:c r="B182" s="2" t="str">
        <x:v>Böblingen</x:v>
      </x:c>
      <x:c r="C182" s="2" t="n">
        <x:v>120</x:v>
      </x:c>
      <x:c r="D182" s="2" t="str">
        <x:v>Stuttgart</x:v>
      </x:c>
      <x:c r="E182" s="8" t="n">
        <x:v>4405.016938519448</x:v>
      </x:c>
      <x:c r="F182" s="7" t="n">
        <x:v>135619</x:v>
      </x:c>
      <x:c r="G182" s="8" t="n">
        <x:f>E182*F182</x:f>
        <x:v>597403992.185069</x:v>
      </x:c>
      <x:c r="H182" s="10" t="n">
        <x:f>F182/SUMIF($C$2:$C$403,C182,$F$2:$F$403)</x:f>
        <x:v>0.1597750738679472</x:v>
      </x:c>
      <x:c r="I182" s="2" t="str">
        <x:v>https://statistik.arbeitsagentur.de/Statistikdaten/Detail/201512/iiia6/beschaeftigung-entgelt-entgelt/entgelt-d-0-201512-xlsm.xlsm?__blob=publicationFile&amp;v=2</x:v>
      </x:c>
      <x:c r="J182" s="2" t="str">
        <x:v>https://statistik.arbeitsagentur.de/Statistikdaten/Detail/201512/iiia6/beschaeftigung-sozbe-svb-kreise-merkmale/svb-kreise-merkmale-d-0-201512-xlsx.xlsx?__blob=publicationFile&amp;v=1</x:v>
      </x:c>
      <x:c r="K182" s="2" t="str">
        <x:v>https://www.bbsr.bund.de/BBSR/DE/forschung/raumbeobachtung/Raumabgrenzungen/deutschland/regionen/arbeitsmarktregionen/arbeitsmarktregionen-2017.csv?__blob=publicationFile&amp;v=2</x:v>
      </x:c>
    </x:row>
    <x:row r="183" ht="24" customHeight="1">
      <x:c r="A183" s="6" t="str">
        <x:v>08116</x:v>
      </x:c>
      <x:c r="B183" s="2" t="str">
        <x:v>Esslingen</x:v>
      </x:c>
      <x:c r="C183" s="2" t="n">
        <x:v>120</x:v>
      </x:c>
      <x:c r="D183" s="2" t="str">
        <x:v>Stuttgart</x:v>
      </x:c>
      <x:c r="E183" s="8" t="n">
        <x:v>3608.621424030515</x:v>
      </x:c>
      <x:c r="F183" s="7" t="n">
        <x:v>156947</x:v>
      </x:c>
      <x:c r="G183" s="8" t="n">
        <x:f>E183*F183</x:f>
        <x:v>566362306.6373172</x:v>
      </x:c>
      <x:c r="H183" s="10" t="n">
        <x:f>F183/SUMIF($C$2:$C$403,C183,$F$2:$F$403)</x:f>
        <x:v>0.18490195708825982</x:v>
      </x:c>
      <x:c r="I183" s="2" t="str">
        <x:v>https://statistik.arbeitsagentur.de/Statistikdaten/Detail/201512/iiia6/beschaeftigung-entgelt-entgelt/entgelt-d-0-201512-xlsm.xlsm?__blob=publicationFile&amp;v=2</x:v>
      </x:c>
      <x:c r="J183" s="2" t="str">
        <x:v>https://statistik.arbeitsagentur.de/Statistikdaten/Detail/201512/iiia6/beschaeftigung-sozbe-svb-kreise-merkmale/svb-kreise-merkmale-d-0-201512-xlsx.xlsx?__blob=publicationFile&amp;v=1</x:v>
      </x:c>
      <x:c r="K183" s="2" t="str">
        <x:v>https://www.bbsr.bund.de/BBSR/DE/forschung/raumbeobachtung/Raumabgrenzungen/deutschland/regionen/arbeitsmarktregionen/arbeitsmarktregionen-2017.csv?__blob=publicationFile&amp;v=2</x:v>
      </x:c>
    </x:row>
    <x:row r="184" ht="24" customHeight="1">
      <x:c r="A184" s="6" t="str">
        <x:v>08117</x:v>
      </x:c>
      <x:c r="B184" s="2" t="str">
        <x:v>Göppingen</x:v>
      </x:c>
      <x:c r="C184" s="2" t="n">
        <x:v>121</x:v>
      </x:c>
      <x:c r="D184" s="2" t="str">
        <x:v>Göppingen</x:v>
      </x:c>
      <x:c r="E184" s="8" t="n">
        <x:v>3294.568255687974</x:v>
      </x:c>
      <x:c r="F184" s="7" t="n">
        <x:v>64937</x:v>
      </x:c>
      <x:c r="G184" s="8" t="n">
        <x:f>E184*F184</x:f>
        <x:v>213939378.81960997</x:v>
      </x:c>
      <x:c r="H184" s="10" t="n">
        <x:f>F184/SUMIF($C$2:$C$403,C184,$F$2:$F$403)</x:f>
        <x:v>1</x:v>
      </x:c>
      <x:c r="I184" s="2" t="str">
        <x:v>https://statistik.arbeitsagentur.de/Statistikdaten/Detail/201512/iiia6/beschaeftigung-entgelt-entgelt/entgelt-d-0-201512-xlsm.xlsm?__blob=publicationFile&amp;v=2</x:v>
      </x:c>
      <x:c r="J184" s="2" t="str">
        <x:v>https://statistik.arbeitsagentur.de/Statistikdaten/Detail/201512/iiia6/beschaeftigung-sozbe-svb-kreise-merkmale/svb-kreise-merkmale-d-0-201512-xlsx.xlsx?__blob=publicationFile&amp;v=1</x:v>
      </x:c>
      <x:c r="K184" s="2" t="str">
        <x:v>https://www.bbsr.bund.de/BBSR/DE/forschung/raumbeobachtung/Raumabgrenzungen/deutschland/regionen/arbeitsmarktregionen/arbeitsmarktregionen-2017.csv?__blob=publicationFile&amp;v=2</x:v>
      </x:c>
    </x:row>
    <x:row r="185" ht="24" customHeight="1">
      <x:c r="A185" s="6" t="str">
        <x:v>08118</x:v>
      </x:c>
      <x:c r="B185" s="2" t="str">
        <x:v>Ludwigsburg</x:v>
      </x:c>
      <x:c r="C185" s="2" t="n">
        <x:v>120</x:v>
      </x:c>
      <x:c r="D185" s="2" t="str">
        <x:v>Stuttgart</x:v>
      </x:c>
      <x:c r="E185" s="8" t="n">
        <x:v>3523.4652996845425</x:v>
      </x:c>
      <x:c r="F185" s="7" t="n">
        <x:v>146604</x:v>
      </x:c>
      <x:c r="G185" s="8" t="n">
        <x:f>E185*F185</x:f>
        <x:v>516554106.7949527</x:v>
      </x:c>
      <x:c r="H185" s="10" t="n">
        <x:f>F185/SUMIF($C$2:$C$403,C185,$F$2:$F$403)</x:f>
        <x:v>0.17271669109296287</x:v>
      </x:c>
      <x:c r="I185" s="2" t="str">
        <x:v>https://statistik.arbeitsagentur.de/Statistikdaten/Detail/201512/iiia6/beschaeftigung-entgelt-entgelt/entgelt-d-0-201512-xlsm.xlsm?__blob=publicationFile&amp;v=2</x:v>
      </x:c>
      <x:c r="J185" s="2" t="str">
        <x:v>https://statistik.arbeitsagentur.de/Statistikdaten/Detail/201512/iiia6/beschaeftigung-sozbe-svb-kreise-merkmale/svb-kreise-merkmale-d-0-201512-xlsx.xlsx?__blob=publicationFile&amp;v=1</x:v>
      </x:c>
      <x:c r="K185" s="2" t="str">
        <x:v>https://www.bbsr.bund.de/BBSR/DE/forschung/raumbeobachtung/Raumabgrenzungen/deutschland/regionen/arbeitsmarktregionen/arbeitsmarktregionen-2017.csv?__blob=publicationFile&amp;v=2</x:v>
      </x:c>
    </x:row>
    <x:row r="186" ht="24" customHeight="1">
      <x:c r="A186" s="6" t="str">
        <x:v>08119</x:v>
      </x:c>
      <x:c r="B186" s="2" t="str">
        <x:v>Rems-Murr-Kreis</x:v>
      </x:c>
      <x:c r="C186" s="2" t="n">
        <x:v>120</x:v>
      </x:c>
      <x:c r="D186" s="2" t="str">
        <x:v>Stuttgart</x:v>
      </x:c>
      <x:c r="E186" s="8" t="n">
        <x:v>3300.8679318357863</x:v>
      </x:c>
      <x:c r="F186" s="7" t="n">
        <x:v>105030</x:v>
      </x:c>
      <x:c r="G186" s="8" t="n">
        <x:f>E186*F186</x:f>
        <x:v>346690158.8807126</x:v>
      </x:c>
      <x:c r="H186" s="10" t="n">
        <x:f>F186/SUMIF($C$2:$C$403,C186,$F$2:$F$403)</x:f>
        <x:v>0.1237376474413651</x:v>
      </x:c>
      <x:c r="I186" s="2" t="str">
        <x:v>https://statistik.arbeitsagentur.de/Statistikdaten/Detail/201512/iiia6/beschaeftigung-entgelt-entgelt/entgelt-d-0-201512-xlsm.xlsm?__blob=publicationFile&amp;v=2</x:v>
      </x:c>
      <x:c r="J186" s="2" t="str">
        <x:v>https://statistik.arbeitsagentur.de/Statistikdaten/Detail/201512/iiia6/beschaeftigung-sozbe-svb-kreise-merkmale/svb-kreise-merkmale-d-0-201512-xlsx.xlsx?__blob=publicationFile&amp;v=1</x:v>
      </x:c>
      <x:c r="K186" s="2" t="str">
        <x:v>https://www.bbsr.bund.de/BBSR/DE/forschung/raumbeobachtung/Raumabgrenzungen/deutschland/regionen/arbeitsmarktregionen/arbeitsmarktregionen-2017.csv?__blob=publicationFile&amp;v=2</x:v>
      </x:c>
    </x:row>
    <x:row r="187" ht="24" customHeight="1">
      <x:c r="A187" s="6" t="str">
        <x:v>08121</x:v>
      </x:c>
      <x:c r="B187" s="2" t="str">
        <x:v>Heilbronn, Stadt</x:v>
      </x:c>
      <x:c r="C187" s="2" t="n">
        <x:v>122</x:v>
      </x:c>
      <x:c r="D187" s="2" t="str">
        <x:v>Heilbronn</x:v>
      </x:c>
      <x:c r="E187" s="8" t="n">
        <x:v>3207.9046920821115</x:v>
      </x:c>
      <x:c r="F187" s="7" t="n">
        <x:v>51127</x:v>
      </x:c>
      <x:c r="G187" s="8" t="n">
        <x:f>E187*F187</x:f>
        <x:v>164010543.1920821</x:v>
      </x:c>
      <x:c r="H187" s="10" t="n">
        <x:f>F187/SUMIF($C$2:$C$403,C187,$F$2:$F$403)</x:f>
        <x:v>0.3288459806784414</x:v>
      </x:c>
      <x:c r="I187" s="2" t="str">
        <x:v>https://statistik.arbeitsagentur.de/Statistikdaten/Detail/201512/iiia6/beschaeftigung-entgelt-entgelt/entgelt-d-0-201512-xlsm.xlsm?__blob=publicationFile&amp;v=2</x:v>
      </x:c>
      <x:c r="J187" s="2" t="str">
        <x:v>https://statistik.arbeitsagentur.de/Statistikdaten/Detail/201512/iiia6/beschaeftigung-sozbe-svb-kreise-merkmale/svb-kreise-merkmale-d-0-201512-xlsx.xlsx?__blob=publicationFile&amp;v=1</x:v>
      </x:c>
      <x:c r="K187" s="2" t="str">
        <x:v>https://www.bbsr.bund.de/BBSR/DE/forschung/raumbeobachtung/Raumabgrenzungen/deutschland/regionen/arbeitsmarktregionen/arbeitsmarktregionen-2017.csv?__blob=publicationFile&amp;v=2</x:v>
      </x:c>
    </x:row>
    <x:row r="188" ht="24" customHeight="1">
      <x:c r="A188" s="6" t="str">
        <x:v>08125</x:v>
      </x:c>
      <x:c r="B188" s="2" t="str">
        <x:v>Heilbronn</x:v>
      </x:c>
      <x:c r="C188" s="2" t="n">
        <x:v>122</x:v>
      </x:c>
      <x:c r="D188" s="2" t="str">
        <x:v>Heilbronn</x:v>
      </x:c>
      <x:c r="E188" s="8" t="n">
        <x:v>3596.7741751990898</x:v>
      </x:c>
      <x:c r="F188" s="7" t="n">
        <x:v>104347</x:v>
      </x:c>
      <x:c r="G188" s="8" t="n">
        <x:f>E188*F188</x:f>
        <x:v>375312594.8594994</x:v>
      </x:c>
      <x:c r="H188" s="10" t="n">
        <x:f>F188/SUMIF($C$2:$C$403,C188,$F$2:$F$403)</x:f>
        <x:v>0.6711540193215586</x:v>
      </x:c>
      <x:c r="I188" s="2" t="str">
        <x:v>https://statistik.arbeitsagentur.de/Statistikdaten/Detail/201512/iiia6/beschaeftigung-entgelt-entgelt/entgelt-d-0-201512-xlsm.xlsm?__blob=publicationFile&amp;v=2</x:v>
      </x:c>
      <x:c r="J188" s="2" t="str">
        <x:v>https://statistik.arbeitsagentur.de/Statistikdaten/Detail/201512/iiia6/beschaeftigung-sozbe-svb-kreise-merkmale/svb-kreise-merkmale-d-0-201512-xlsx.xlsx?__blob=publicationFile&amp;v=1</x:v>
      </x:c>
      <x:c r="K188" s="2" t="str">
        <x:v>https://www.bbsr.bund.de/BBSR/DE/forschung/raumbeobachtung/Raumabgrenzungen/deutschland/regionen/arbeitsmarktregionen/arbeitsmarktregionen-2017.csv?__blob=publicationFile&amp;v=2</x:v>
      </x:c>
    </x:row>
    <x:row r="189" ht="24" customHeight="1">
      <x:c r="A189" s="6" t="str">
        <x:v>08126</x:v>
      </x:c>
      <x:c r="B189" s="2" t="str">
        <x:v>Hohenlohekreis</x:v>
      </x:c>
      <x:c r="C189" s="2" t="n">
        <x:v>123</x:v>
      </x:c>
      <x:c r="D189" s="2" t="str">
        <x:v>Schwäbisch Hall</x:v>
      </x:c>
      <x:c r="E189" s="8" t="n">
        <x:v>3393.3772919605076</x:v>
      </x:c>
      <x:c r="F189" s="7" t="n">
        <x:v>44249</x:v>
      </x:c>
      <x:c r="G189" s="8" t="n">
        <x:f>E189*F189</x:f>
        <x:v>150153551.7919605</x:v>
      </x:c>
      <x:c r="H189" s="10" t="n">
        <x:f>F189/SUMIF($C$2:$C$403,C189,$F$2:$F$403)</x:f>
        <x:v>0.4270520677508083</x:v>
      </x:c>
      <x:c r="I189" s="2" t="str">
        <x:v>https://statistik.arbeitsagentur.de/Statistikdaten/Detail/201512/iiia6/beschaeftigung-entgelt-entgelt/entgelt-d-0-201512-xlsm.xlsm?__blob=publicationFile&amp;v=2</x:v>
      </x:c>
      <x:c r="J189" s="2" t="str">
        <x:v>https://statistik.arbeitsagentur.de/Statistikdaten/Detail/201512/iiia6/beschaeftigung-sozbe-svb-kreise-merkmale/svb-kreise-merkmale-d-0-201512-xlsx.xlsx?__blob=publicationFile&amp;v=1</x:v>
      </x:c>
      <x:c r="K189" s="2" t="str">
        <x:v>https://www.bbsr.bund.de/BBSR/DE/forschung/raumbeobachtung/Raumabgrenzungen/deutschland/regionen/arbeitsmarktregionen/arbeitsmarktregionen-2017.csv?__blob=publicationFile&amp;v=2</x:v>
      </x:c>
    </x:row>
    <x:row r="190" ht="24" customHeight="1">
      <x:c r="A190" s="6" t="str">
        <x:v>08127</x:v>
      </x:c>
      <x:c r="B190" s="2" t="str">
        <x:v>Schwäbisch Hall</x:v>
      </x:c>
      <x:c r="C190" s="2" t="n">
        <x:v>123</x:v>
      </x:c>
      <x:c r="D190" s="2" t="str">
        <x:v>Schwäbisch Hall</x:v>
      </x:c>
      <x:c r="E190" s="8" t="n">
        <x:v>3176.8565891472867</x:v>
      </x:c>
      <x:c r="F190" s="7" t="n">
        <x:v>59366</x:v>
      </x:c>
      <x:c r="G190" s="8" t="n">
        <x:f>E190*F190</x:f>
        <x:v>188597268.2713178</x:v>
      </x:c>
      <x:c r="H190" s="10" t="n">
        <x:f>F190/SUMIF($C$2:$C$403,C190,$F$2:$F$403)</x:f>
        <x:v>0.5729479322491917</x:v>
      </x:c>
      <x:c r="I190" s="2" t="str">
        <x:v>https://statistik.arbeitsagentur.de/Statistikdaten/Detail/201512/iiia6/beschaeftigung-entgelt-entgelt/entgelt-d-0-201512-xlsm.xlsm?__blob=publicationFile&amp;v=2</x:v>
      </x:c>
      <x:c r="J190" s="2" t="str">
        <x:v>https://statistik.arbeitsagentur.de/Statistikdaten/Detail/201512/iiia6/beschaeftigung-sozbe-svb-kreise-merkmale/svb-kreise-merkmale-d-0-201512-xlsx.xlsx?__blob=publicationFile&amp;v=1</x:v>
      </x:c>
      <x:c r="K190" s="2" t="str">
        <x:v>https://www.bbsr.bund.de/BBSR/DE/forschung/raumbeobachtung/Raumabgrenzungen/deutschland/regionen/arbeitsmarktregionen/arbeitsmarktregionen-2017.csv?__blob=publicationFile&amp;v=2</x:v>
      </x:c>
    </x:row>
    <x:row r="191" ht="24" customHeight="1">
      <x:c r="A191" s="6" t="str">
        <x:v>08128</x:v>
      </x:c>
      <x:c r="B191" s="2" t="str">
        <x:v>Main-Tauber-Kreis</x:v>
      </x:c>
      <x:c r="C191" s="2" t="n">
        <x:v>124</x:v>
      </x:c>
      <x:c r="D191" s="2" t="str">
        <x:v>Tauberbischofsheim</x:v>
      </x:c>
      <x:c r="E191" s="8" t="n">
        <x:v>3082.751655629139</x:v>
      </x:c>
      <x:c r="F191" s="7" t="n">
        <x:v>38994</x:v>
      </x:c>
      <x:c r="G191" s="8" t="n">
        <x:f>E191*F191</x:f>
        <x:v>120208818.05960265</x:v>
      </x:c>
      <x:c r="H191" s="10" t="n">
        <x:f>F191/SUMIF($C$2:$C$403,C191,$F$2:$F$403)</x:f>
        <x:v>1</x:v>
      </x:c>
      <x:c r="I191" s="2" t="str">
        <x:v>https://statistik.arbeitsagentur.de/Statistikdaten/Detail/201512/iiia6/beschaeftigung-entgelt-entgelt/entgelt-d-0-201512-xlsm.xlsm?__blob=publicationFile&amp;v=2</x:v>
      </x:c>
      <x:c r="J191" s="2" t="str">
        <x:v>https://statistik.arbeitsagentur.de/Statistikdaten/Detail/201512/iiia6/beschaeftigung-sozbe-svb-kreise-merkmale/svb-kreise-merkmale-d-0-201512-xlsx.xlsx?__blob=publicationFile&amp;v=1</x:v>
      </x:c>
      <x:c r="K191" s="2" t="str">
        <x:v>https://www.bbsr.bund.de/BBSR/DE/forschung/raumbeobachtung/Raumabgrenzungen/deutschland/regionen/arbeitsmarktregionen/arbeitsmarktregionen-2017.csv?__blob=publicationFile&amp;v=2</x:v>
      </x:c>
    </x:row>
    <x:row r="192" ht="24" customHeight="1">
      <x:c r="A192" s="6" t="str">
        <x:v>08135</x:v>
      </x:c>
      <x:c r="B192" s="2" t="str">
        <x:v>Heidenheim</x:v>
      </x:c>
      <x:c r="C192" s="2" t="n">
        <x:v>125</x:v>
      </x:c>
      <x:c r="D192" s="2" t="str">
        <x:v>Heidenheim</x:v>
      </x:c>
      <x:c r="E192" s="8" t="n">
        <x:v>3467.5382165605097</x:v>
      </x:c>
      <x:c r="F192" s="7" t="n">
        <x:v>37239</x:v>
      </x:c>
      <x:c r="G192" s="8" t="n">
        <x:f>E192*F192</x:f>
        <x:v>129127655.64649682</x:v>
      </x:c>
      <x:c r="H192" s="10" t="n">
        <x:f>F192/SUMIF($C$2:$C$403,C192,$F$2:$F$403)</x:f>
        <x:v>1</x:v>
      </x:c>
      <x:c r="I192" s="2" t="str">
        <x:v>https://statistik.arbeitsagentur.de/Statistikdaten/Detail/201512/iiia6/beschaeftigung-entgelt-entgelt/entgelt-d-0-201512-xlsm.xlsm?__blob=publicationFile&amp;v=2</x:v>
      </x:c>
      <x:c r="J192" s="2" t="str">
        <x:v>https://statistik.arbeitsagentur.de/Statistikdaten/Detail/201512/iiia6/beschaeftigung-sozbe-svb-kreise-merkmale/svb-kreise-merkmale-d-0-201512-xlsx.xlsx?__blob=publicationFile&amp;v=1</x:v>
      </x:c>
      <x:c r="K192" s="2" t="str">
        <x:v>https://www.bbsr.bund.de/BBSR/DE/forschung/raumbeobachtung/Raumabgrenzungen/deutschland/regionen/arbeitsmarktregionen/arbeitsmarktregionen-2017.csv?__blob=publicationFile&amp;v=2</x:v>
      </x:c>
    </x:row>
    <x:row r="193" ht="24" customHeight="1">
      <x:c r="A193" s="6" t="str">
        <x:v>08136</x:v>
      </x:c>
      <x:c r="B193" s="2" t="str">
        <x:v>Ostalbkreis</x:v>
      </x:c>
      <x:c r="C193" s="2" t="n">
        <x:v>126</x:v>
      </x:c>
      <x:c r="D193" s="2" t="str">
        <x:v>Aalen</x:v>
      </x:c>
      <x:c r="E193" s="8" t="n">
        <x:v>3513.294533459001</x:v>
      </x:c>
      <x:c r="F193" s="7" t="n">
        <x:v>92350</x:v>
      </x:c>
      <x:c r="G193" s="8" t="n">
        <x:f>E193*F193</x:f>
        <x:v>324452750.16493875</x:v>
      </x:c>
      <x:c r="H193" s="10" t="n">
        <x:f>F193/SUMIF($C$2:$C$403,C193,$F$2:$F$403)</x:f>
        <x:v>1</x:v>
      </x:c>
      <x:c r="I193" s="2" t="str">
        <x:v>https://statistik.arbeitsagentur.de/Statistikdaten/Detail/201512/iiia6/beschaeftigung-entgelt-entgelt/entgelt-d-0-201512-xlsm.xlsm?__blob=publicationFile&amp;v=2</x:v>
      </x:c>
      <x:c r="J193" s="2" t="str">
        <x:v>https://statistik.arbeitsagentur.de/Statistikdaten/Detail/201512/iiia6/beschaeftigung-sozbe-svb-kreise-merkmale/svb-kreise-merkmale-d-0-201512-xlsx.xlsx?__blob=publicationFile&amp;v=1</x:v>
      </x:c>
      <x:c r="K193" s="2" t="str">
        <x:v>https://www.bbsr.bund.de/BBSR/DE/forschung/raumbeobachtung/Raumabgrenzungen/deutschland/regionen/arbeitsmarktregionen/arbeitsmarktregionen-2017.csv?__blob=publicationFile&amp;v=2</x:v>
      </x:c>
    </x:row>
    <x:row r="194" ht="24" customHeight="1">
      <x:c r="A194" s="6" t="str">
        <x:v>08211</x:v>
      </x:c>
      <x:c r="B194" s="2" t="str">
        <x:v>Baden-Baden, Stadt</x:v>
      </x:c>
      <x:c r="C194" s="2" t="n">
        <x:v>127</x:v>
      </x:c>
      <x:c r="D194" s="2" t="str">
        <x:v>Baden-Baden</x:v>
      </x:c>
      <x:c r="E194" s="8" t="n">
        <x:v>3187.3078175895766</x:v>
      </x:c>
      <x:c r="F194" s="7" t="n">
        <x:v>21521</x:v>
      </x:c>
      <x:c r="G194" s="8" t="n">
        <x:f>E194*F194</x:f>
        <x:v>68594051.54234529</x:v>
      </x:c>
      <x:c r="H194" s="10" t="n">
        <x:f>F194/SUMIF($C$2:$C$403,C194,$F$2:$F$403)</x:f>
        <x:v>0.23755698563906705</x:v>
      </x:c>
      <x:c r="I194" s="2" t="str">
        <x:v>https://statistik.arbeitsagentur.de/Statistikdaten/Detail/201512/iiia6/beschaeftigung-entgelt-entgelt/entgelt-d-0-201512-xlsm.xlsm?__blob=publicationFile&amp;v=2</x:v>
      </x:c>
      <x:c r="J194" s="2" t="str">
        <x:v>https://statistik.arbeitsagentur.de/Statistikdaten/Detail/201512/iiia6/beschaeftigung-sozbe-svb-kreise-merkmale/svb-kreise-merkmale-d-0-201512-xlsx.xlsx?__blob=publicationFile&amp;v=1</x:v>
      </x:c>
      <x:c r="K194" s="2" t="str">
        <x:v>https://www.bbsr.bund.de/BBSR/DE/forschung/raumbeobachtung/Raumabgrenzungen/deutschland/regionen/arbeitsmarktregionen/arbeitsmarktregionen-2017.csv?__blob=publicationFile&amp;v=2</x:v>
      </x:c>
    </x:row>
    <x:row r="195" ht="24" customHeight="1">
      <x:c r="A195" s="6" t="str">
        <x:v>08212</x:v>
      </x:c>
      <x:c r="B195" s="2" t="str">
        <x:v>Karlsruhe, Stadt</x:v>
      </x:c>
      <x:c r="C195" s="2" t="n">
        <x:v>128</x:v>
      </x:c>
      <x:c r="D195" s="2" t="str">
        <x:v>Karlsruhe</x:v>
      </x:c>
      <x:c r="E195" s="8" t="n">
        <x:v>3538.4409878127003</x:v>
      </x:c>
      <x:c r="F195" s="7" t="n">
        <x:v>127642</x:v>
      </x:c>
      <x:c r="G195" s="8" t="n">
        <x:f>E195*F195</x:f>
        <x:v>451653684.56638867</x:v>
      </x:c>
      <x:c r="H195" s="10" t="n">
        <x:f>F195/SUMIF($C$2:$C$403,C195,$F$2:$F$403)</x:f>
        <x:v>0.5383966458296425</x:v>
      </x:c>
      <x:c r="I195" s="2" t="str">
        <x:v>https://statistik.arbeitsagentur.de/Statistikdaten/Detail/201512/iiia6/beschaeftigung-entgelt-entgelt/entgelt-d-0-201512-xlsm.xlsm?__blob=publicationFile&amp;v=2</x:v>
      </x:c>
      <x:c r="J195" s="2" t="str">
        <x:v>https://statistik.arbeitsagentur.de/Statistikdaten/Detail/201512/iiia6/beschaeftigung-sozbe-svb-kreise-merkmale/svb-kreise-merkmale-d-0-201512-xlsx.xlsx?__blob=publicationFile&amp;v=1</x:v>
      </x:c>
      <x:c r="K195" s="2" t="str">
        <x:v>https://www.bbsr.bund.de/BBSR/DE/forschung/raumbeobachtung/Raumabgrenzungen/deutschland/regionen/arbeitsmarktregionen/arbeitsmarktregionen-2017.csv?__blob=publicationFile&amp;v=2</x:v>
      </x:c>
    </x:row>
    <x:row r="196" ht="24" customHeight="1">
      <x:c r="A196" s="6" t="str">
        <x:v>08215</x:v>
      </x:c>
      <x:c r="B196" s="2" t="str">
        <x:v>Karlsruhe</x:v>
      </x:c>
      <x:c r="C196" s="2" t="n">
        <x:v>128</x:v>
      </x:c>
      <x:c r="D196" s="2" t="str">
        <x:v>Karlsruhe</x:v>
      </x:c>
      <x:c r="E196" s="8" t="n">
        <x:v>3204.808510638298</x:v>
      </x:c>
      <x:c r="F196" s="7" t="n">
        <x:v>109436</x:v>
      </x:c>
      <x:c r="G196" s="8" t="n">
        <x:f>E196*F196</x:f>
        <x:v>350721424.17021275</x:v>
      </x:c>
      <x:c r="H196" s="10" t="n">
        <x:f>F196/SUMIF($C$2:$C$403,C196,$F$2:$F$403)</x:f>
        <x:v>0.4616033541703574</x:v>
      </x:c>
      <x:c r="I196" s="2" t="str">
        <x:v>https://statistik.arbeitsagentur.de/Statistikdaten/Detail/201512/iiia6/beschaeftigung-entgelt-entgelt/entgelt-d-0-201512-xlsm.xlsm?__blob=publicationFile&amp;v=2</x:v>
      </x:c>
      <x:c r="J196" s="2" t="str">
        <x:v>https://statistik.arbeitsagentur.de/Statistikdaten/Detail/201512/iiia6/beschaeftigung-sozbe-svb-kreise-merkmale/svb-kreise-merkmale-d-0-201512-xlsx.xlsx?__blob=publicationFile&amp;v=1</x:v>
      </x:c>
      <x:c r="K196" s="2" t="str">
        <x:v>https://www.bbsr.bund.de/BBSR/DE/forschung/raumbeobachtung/Raumabgrenzungen/deutschland/regionen/arbeitsmarktregionen/arbeitsmarktregionen-2017.csv?__blob=publicationFile&amp;v=2</x:v>
      </x:c>
    </x:row>
    <x:row r="197" ht="24" customHeight="1">
      <x:c r="A197" s="6" t="str">
        <x:v>08216</x:v>
      </x:c>
      <x:c r="B197" s="2" t="str">
        <x:v>Rastatt</x:v>
      </x:c>
      <x:c r="C197" s="2" t="n">
        <x:v>127</x:v>
      </x:c>
      <x:c r="D197" s="2" t="str">
        <x:v>Baden-Baden</x:v>
      </x:c>
      <x:c r="E197" s="8" t="n">
        <x:v>3658.887358184765</x:v>
      </x:c>
      <x:c r="F197" s="7" t="n">
        <x:v>69072</x:v>
      </x:c>
      <x:c r="G197" s="8" t="n">
        <x:f>E197*F197</x:f>
        <x:v>252726667.6045381</x:v>
      </x:c>
      <x:c r="H197" s="10" t="n">
        <x:f>F197/SUMIF($C$2:$C$403,C197,$F$2:$F$403)</x:f>
        <x:v>0.762443014360933</x:v>
      </x:c>
      <x:c r="I197" s="2" t="str">
        <x:v>https://statistik.arbeitsagentur.de/Statistikdaten/Detail/201512/iiia6/beschaeftigung-entgelt-entgelt/entgelt-d-0-201512-xlsm.xlsm?__blob=publicationFile&amp;v=2</x:v>
      </x:c>
      <x:c r="J197" s="2" t="str">
        <x:v>https://statistik.arbeitsagentur.de/Statistikdaten/Detail/201512/iiia6/beschaeftigung-sozbe-svb-kreise-merkmale/svb-kreise-merkmale-d-0-201512-xlsx.xlsx?__blob=publicationFile&amp;v=1</x:v>
      </x:c>
      <x:c r="K197" s="2" t="str">
        <x:v>https://www.bbsr.bund.de/BBSR/DE/forschung/raumbeobachtung/Raumabgrenzungen/deutschland/regionen/arbeitsmarktregionen/arbeitsmarktregionen-2017.csv?__blob=publicationFile&amp;v=2</x:v>
      </x:c>
    </x:row>
    <x:row r="198" ht="24" customHeight="1">
      <x:c r="A198" s="6" t="str">
        <x:v>08221</x:v>
      </x:c>
      <x:c r="B198" s="2" t="str">
        <x:v>Heidelberg, Stadt</x:v>
      </x:c>
      <x:c r="C198" s="2" t="n">
        <x:v>129</x:v>
      </x:c>
      <x:c r="D198" s="2" t="str">
        <x:v>Heidelberg</x:v>
      </x:c>
      <x:c r="E198" s="8" t="n">
        <x:v>3549.5611961057025</x:v>
      </x:c>
      <x:c r="F198" s="7" t="n">
        <x:v>61000</x:v>
      </x:c>
      <x:c r="G198" s="8" t="n">
        <x:f>E198*F198</x:f>
        <x:v>216523232.96244785</x:v>
      </x:c>
      <x:c r="H198" s="10" t="n">
        <x:f>F198/SUMIF($C$2:$C$403,C198,$F$2:$F$403)</x:f>
        <x:v>0.3387646751746582</x:v>
      </x:c>
      <x:c r="I198" s="2" t="str">
        <x:v>https://statistik.arbeitsagentur.de/Statistikdaten/Detail/201512/iiia6/beschaeftigung-entgelt-entgelt/entgelt-d-0-201512-xlsm.xlsm?__blob=publicationFile&amp;v=2</x:v>
      </x:c>
      <x:c r="J198" s="2" t="str">
        <x:v>https://statistik.arbeitsagentur.de/Statistikdaten/Detail/201512/iiia6/beschaeftigung-sozbe-svb-kreise-merkmale/svb-kreise-merkmale-d-0-201512-xlsx.xlsx?__blob=publicationFile&amp;v=1</x:v>
      </x:c>
      <x:c r="K198" s="2" t="str">
        <x:v>https://www.bbsr.bund.de/BBSR/DE/forschung/raumbeobachtung/Raumabgrenzungen/deutschland/regionen/arbeitsmarktregionen/arbeitsmarktregionen-2017.csv?__blob=publicationFile&amp;v=2</x:v>
      </x:c>
    </x:row>
    <x:row r="199" ht="24" customHeight="1">
      <x:c r="A199" s="6" t="str">
        <x:v>08222</x:v>
      </x:c>
      <x:c r="B199" s="2" t="str">
        <x:v>Mannheim, Universitätsstadt</x:v>
      </x:c>
      <x:c r="C199" s="2" t="n">
        <x:v>130</x:v>
      </x:c>
      <x:c r="D199" s="2" t="str">
        <x:v>Mannheim</x:v>
      </x:c>
      <x:c r="E199" s="8" t="n">
        <x:v>3712.647102526003</x:v>
      </x:c>
      <x:c r="F199" s="7" t="n">
        <x:v>138961</x:v>
      </x:c>
      <x:c r="G199" s="8" t="n">
        <x:f>E199*F199</x:f>
        <x:v>515913154.0141159</x:v>
      </x:c>
      <x:c r="H199" s="10" t="n">
        <x:f>F199/SUMIF($C$2:$C$403,C199,$F$2:$F$403)</x:f>
        <x:v>0.7320633649596199</x:v>
      </x:c>
      <x:c r="I199" s="2" t="str">
        <x:v>https://statistik.arbeitsagentur.de/Statistikdaten/Detail/201512/iiia6/beschaeftigung-entgelt-entgelt/entgelt-d-0-201512-xlsm.xlsm?__blob=publicationFile&amp;v=2</x:v>
      </x:c>
      <x:c r="J199" s="2" t="str">
        <x:v>https://statistik.arbeitsagentur.de/Statistikdaten/Detail/201512/iiia6/beschaeftigung-sozbe-svb-kreise-merkmale/svb-kreise-merkmale-d-0-201512-xlsx.xlsx?__blob=publicationFile&amp;v=1</x:v>
      </x:c>
      <x:c r="K199" s="2" t="str">
        <x:v>https://www.bbsr.bund.de/BBSR/DE/forschung/raumbeobachtung/Raumabgrenzungen/deutschland/regionen/arbeitsmarktregionen/arbeitsmarktregionen-2017.csv?__blob=publicationFile&amp;v=2</x:v>
      </x:c>
    </x:row>
    <x:row r="200" ht="24" customHeight="1">
      <x:c r="A200" s="6" t="str">
        <x:v>08225</x:v>
      </x:c>
      <x:c r="B200" s="2" t="str">
        <x:v>Neckar-Odenwald-Kreis</x:v>
      </x:c>
      <x:c r="C200" s="2" t="n">
        <x:v>131</x:v>
      </x:c>
      <x:c r="D200" s="2" t="str">
        <x:v>Mosbach</x:v>
      </x:c>
      <x:c r="E200" s="8" t="n">
        <x:v>3033.4896907216494</x:v>
      </x:c>
      <x:c r="F200" s="7" t="n">
        <x:v>32986</x:v>
      </x:c>
      <x:c r="G200" s="8" t="n">
        <x:f>E200*F200</x:f>
        <x:v>100062690.93814433</x:v>
      </x:c>
      <x:c r="H200" s="10" t="n">
        <x:f>F200/SUMIF($C$2:$C$403,C200,$F$2:$F$403)</x:f>
        <x:v>1</x:v>
      </x:c>
      <x:c r="I200" s="2" t="str">
        <x:v>https://statistik.arbeitsagentur.de/Statistikdaten/Detail/201512/iiia6/beschaeftigung-entgelt-entgelt/entgelt-d-0-201512-xlsm.xlsm?__blob=publicationFile&amp;v=2</x:v>
      </x:c>
      <x:c r="J200" s="2" t="str">
        <x:v>https://statistik.arbeitsagentur.de/Statistikdaten/Detail/201512/iiia6/beschaeftigung-sozbe-svb-kreise-merkmale/svb-kreise-merkmale-d-0-201512-xlsx.xlsx?__blob=publicationFile&amp;v=1</x:v>
      </x:c>
      <x:c r="K200" s="2" t="str">
        <x:v>https://www.bbsr.bund.de/BBSR/DE/forschung/raumbeobachtung/Raumabgrenzungen/deutschland/regionen/arbeitsmarktregionen/arbeitsmarktregionen-2017.csv?__blob=publicationFile&amp;v=2</x:v>
      </x:c>
    </x:row>
    <x:row r="201" ht="24" customHeight="1">
      <x:c r="A201" s="6" t="str">
        <x:v>08226</x:v>
      </x:c>
      <x:c r="B201" s="2" t="str">
        <x:v>Rhein-Neckar-Kreis</x:v>
      </x:c>
      <x:c r="C201" s="2" t="n">
        <x:v>129</x:v>
      </x:c>
      <x:c r="D201" s="2" t="str">
        <x:v>Heidelberg</x:v>
      </x:c>
      <x:c r="E201" s="8" t="n">
        <x:v>3400.2217806041335</x:v>
      </x:c>
      <x:c r="F201" s="7" t="n">
        <x:v>119066</x:v>
      </x:c>
      <x:c r="G201" s="8" t="n">
        <x:f>E201*F201</x:f>
        <x:v>404850806.52941173</x:v>
      </x:c>
      <x:c r="H201" s="10" t="n">
        <x:f>F201/SUMIF($C$2:$C$403,C201,$F$2:$F$403)</x:f>
        <x:v>0.6612353248253419</x:v>
      </x:c>
      <x:c r="I201" s="2" t="str">
        <x:v>https://statistik.arbeitsagentur.de/Statistikdaten/Detail/201512/iiia6/beschaeftigung-entgelt-entgelt/entgelt-d-0-201512-xlsm.xlsm?__blob=publicationFile&amp;v=2</x:v>
      </x:c>
      <x:c r="J201" s="2" t="str">
        <x:v>https://statistik.arbeitsagentur.de/Statistikdaten/Detail/201512/iiia6/beschaeftigung-sozbe-svb-kreise-merkmale/svb-kreise-merkmale-d-0-201512-xlsx.xlsx?__blob=publicationFile&amp;v=1</x:v>
      </x:c>
      <x:c r="K201" s="2" t="str">
        <x:v>https://www.bbsr.bund.de/BBSR/DE/forschung/raumbeobachtung/Raumabgrenzungen/deutschland/regionen/arbeitsmarktregionen/arbeitsmarktregionen-2017.csv?__blob=publicationFile&amp;v=2</x:v>
      </x:c>
    </x:row>
    <x:row r="202" ht="24" customHeight="1">
      <x:c r="A202" s="6" t="str">
        <x:v>08231</x:v>
      </x:c>
      <x:c r="B202" s="2" t="str">
        <x:v>Pforzheim, Stadt</x:v>
      </x:c>
      <x:c r="C202" s="2" t="n">
        <x:v>132</x:v>
      </x:c>
      <x:c r="D202" s="2" t="str">
        <x:v>Pforzheim</x:v>
      </x:c>
      <x:c r="E202" s="8" t="n">
        <x:v>3145.5704225352115</x:v>
      </x:c>
      <x:c r="F202" s="7" t="n">
        <x:v>41736</x:v>
      </x:c>
      <x:c r="G202" s="8" t="n">
        <x:f>E202*F202</x:f>
        <x:v>131283527.1549296</x:v>
      </x:c>
      <x:c r="H202" s="10" t="n">
        <x:f>F202/SUMIF($C$2:$C$403,C202,$F$2:$F$403)</x:f>
        <x:v>0.4790358680057389</x:v>
      </x:c>
      <x:c r="I202" s="2" t="str">
        <x:v>https://statistik.arbeitsagentur.de/Statistikdaten/Detail/201512/iiia6/beschaeftigung-entgelt-entgelt/entgelt-d-0-201512-xlsm.xlsm?__blob=publicationFile&amp;v=2</x:v>
      </x:c>
      <x:c r="J202" s="2" t="str">
        <x:v>https://statistik.arbeitsagentur.de/Statistikdaten/Detail/201512/iiia6/beschaeftigung-sozbe-svb-kreise-merkmale/svb-kreise-merkmale-d-0-201512-xlsx.xlsx?__blob=publicationFile&amp;v=1</x:v>
      </x:c>
      <x:c r="K202" s="2" t="str">
        <x:v>https://www.bbsr.bund.de/BBSR/DE/forschung/raumbeobachtung/Raumabgrenzungen/deutschland/regionen/arbeitsmarktregionen/arbeitsmarktregionen-2017.csv?__blob=publicationFile&amp;v=2</x:v>
      </x:c>
    </x:row>
    <x:row r="203" ht="24" customHeight="1">
      <x:c r="A203" s="6" t="str">
        <x:v>08235</x:v>
      </x:c>
      <x:c r="B203" s="2" t="str">
        <x:v>Calw</x:v>
      </x:c>
      <x:c r="C203" s="2" t="n">
        <x:v>133</x:v>
      </x:c>
      <x:c r="D203" s="2" t="str">
        <x:v>Calw</x:v>
      </x:c>
      <x:c r="E203" s="8" t="n">
        <x:v>3059.140776699029</x:v>
      </x:c>
      <x:c r="F203" s="7" t="n">
        <x:v>32144</x:v>
      </x:c>
      <x:c r="G203" s="8" t="n">
        <x:f>E203*F203</x:f>
        <x:v>98333021.1262136</x:v>
      </x:c>
      <x:c r="H203" s="10" t="n">
        <x:f>F203/SUMIF($C$2:$C$403,C203,$F$2:$F$403)</x:f>
        <x:v>1</x:v>
      </x:c>
      <x:c r="I203" s="2" t="str">
        <x:v>https://statistik.arbeitsagentur.de/Statistikdaten/Detail/201512/iiia6/beschaeftigung-entgelt-entgelt/entgelt-d-0-201512-xlsm.xlsm?__blob=publicationFile&amp;v=2</x:v>
      </x:c>
      <x:c r="J203" s="2" t="str">
        <x:v>https://statistik.arbeitsagentur.de/Statistikdaten/Detail/201512/iiia6/beschaeftigung-sozbe-svb-kreise-merkmale/svb-kreise-merkmale-d-0-201512-xlsx.xlsx?__blob=publicationFile&amp;v=1</x:v>
      </x:c>
      <x:c r="K203" s="2" t="str">
        <x:v>https://www.bbsr.bund.de/BBSR/DE/forschung/raumbeobachtung/Raumabgrenzungen/deutschland/regionen/arbeitsmarktregionen/arbeitsmarktregionen-2017.csv?__blob=publicationFile&amp;v=2</x:v>
      </x:c>
    </x:row>
    <x:row r="204" ht="24" customHeight="1">
      <x:c r="A204" s="6" t="str">
        <x:v>08236</x:v>
      </x:c>
      <x:c r="B204" s="2" t="str">
        <x:v>Enzkreis</x:v>
      </x:c>
      <x:c r="C204" s="2" t="n">
        <x:v>132</x:v>
      </x:c>
      <x:c r="D204" s="2" t="str">
        <x:v>Pforzheim</x:v>
      </x:c>
      <x:c r="E204" s="8" t="n">
        <x:v>3169.537356321839</x:v>
      </x:c>
      <x:c r="F204" s="7" t="n">
        <x:v>45389</x:v>
      </x:c>
      <x:c r="G204" s="8" t="n">
        <x:f>E204*F204</x:f>
        <x:v>143862131.06609195</x:v>
      </x:c>
      <x:c r="H204" s="10" t="n">
        <x:f>F204/SUMIF($C$2:$C$403,C204,$F$2:$F$403)</x:f>
        <x:v>0.5209641319942612</x:v>
      </x:c>
      <x:c r="I204" s="2" t="str">
        <x:v>https://statistik.arbeitsagentur.de/Statistikdaten/Detail/201512/iiia6/beschaeftigung-entgelt-entgelt/entgelt-d-0-201512-xlsm.xlsm?__blob=publicationFile&amp;v=2</x:v>
      </x:c>
      <x:c r="J204" s="2" t="str">
        <x:v>https://statistik.arbeitsagentur.de/Statistikdaten/Detail/201512/iiia6/beschaeftigung-sozbe-svb-kreise-merkmale/svb-kreise-merkmale-d-0-201512-xlsx.xlsx?__blob=publicationFile&amp;v=1</x:v>
      </x:c>
      <x:c r="K204" s="2" t="str">
        <x:v>https://www.bbsr.bund.de/BBSR/DE/forschung/raumbeobachtung/Raumabgrenzungen/deutschland/regionen/arbeitsmarktregionen/arbeitsmarktregionen-2017.csv?__blob=publicationFile&amp;v=2</x:v>
      </x:c>
    </x:row>
    <x:row r="205" ht="24" customHeight="1">
      <x:c r="A205" s="6" t="str">
        <x:v>08237</x:v>
      </x:c>
      <x:c r="B205" s="2" t="str">
        <x:v>Freudenstadt</x:v>
      </x:c>
      <x:c r="C205" s="2" t="n">
        <x:v>134</x:v>
      </x:c>
      <x:c r="D205" s="2" t="str">
        <x:v>Freudenstadt</x:v>
      </x:c>
      <x:c r="E205" s="8" t="n">
        <x:v>3251.4792626728113</x:v>
      </x:c>
      <x:c r="F205" s="7" t="n">
        <x:v>34940</x:v>
      </x:c>
      <x:c r="G205" s="8" t="n">
        <x:f>E205*F205</x:f>
        <x:v>113606685.43778802</x:v>
      </x:c>
      <x:c r="H205" s="10" t="n">
        <x:f>F205/SUMIF($C$2:$C$403,C205,$F$2:$F$403)</x:f>
        <x:v>1</x:v>
      </x:c>
      <x:c r="I205" s="2" t="str">
        <x:v>https://statistik.arbeitsagentur.de/Statistikdaten/Detail/201512/iiia6/beschaeftigung-entgelt-entgelt/entgelt-d-0-201512-xlsm.xlsm?__blob=publicationFile&amp;v=2</x:v>
      </x:c>
      <x:c r="J205" s="2" t="str">
        <x:v>https://statistik.arbeitsagentur.de/Statistikdaten/Detail/201512/iiia6/beschaeftigung-sozbe-svb-kreise-merkmale/svb-kreise-merkmale-d-0-201512-xlsx.xlsx?__blob=publicationFile&amp;v=1</x:v>
      </x:c>
      <x:c r="K205" s="2" t="str">
        <x:v>https://www.bbsr.bund.de/BBSR/DE/forschung/raumbeobachtung/Raumabgrenzungen/deutschland/regionen/arbeitsmarktregionen/arbeitsmarktregionen-2017.csv?__blob=publicationFile&amp;v=2</x:v>
      </x:c>
    </x:row>
    <x:row r="206" ht="24" customHeight="1">
      <x:c r="A206" s="6" t="str">
        <x:v>08311</x:v>
      </x:c>
      <x:c r="B206" s="2" t="str">
        <x:v>Freiburg im Breisgau, Stadt</x:v>
      </x:c>
      <x:c r="C206" s="2" t="n">
        <x:v>135</x:v>
      </x:c>
      <x:c r="D206" s="2" t="str">
        <x:v>Freiburg</x:v>
      </x:c>
      <x:c r="E206" s="8" t="n">
        <x:v>3341.888044579534</x:v>
      </x:c>
      <x:c r="F206" s="7" t="n">
        <x:v>78102</x:v>
      </x:c>
      <x:c r="G206" s="8" t="n">
        <x:f>E206*F206</x:f>
        <x:v>261008140.05775076</x:v>
      </x:c>
      <x:c r="H206" s="10" t="n">
        <x:f>F206/SUMIF($C$2:$C$403,C206,$F$2:$F$403)</x:f>
        <x:v>0.4633841005772871</x:v>
      </x:c>
      <x:c r="I206" s="2" t="str">
        <x:v>https://statistik.arbeitsagentur.de/Statistikdaten/Detail/201512/iiia6/beschaeftigung-entgelt-entgelt/entgelt-d-0-201512-xlsm.xlsm?__blob=publicationFile&amp;v=2</x:v>
      </x:c>
      <x:c r="J206" s="2" t="str">
        <x:v>https://statistik.arbeitsagentur.de/Statistikdaten/Detail/201512/iiia6/beschaeftigung-sozbe-svb-kreise-merkmale/svb-kreise-merkmale-d-0-201512-xlsx.xlsx?__blob=publicationFile&amp;v=1</x:v>
      </x:c>
      <x:c r="K206" s="2" t="str">
        <x:v>https://www.bbsr.bund.de/BBSR/DE/forschung/raumbeobachtung/Raumabgrenzungen/deutschland/regionen/arbeitsmarktregionen/arbeitsmarktregionen-2017.csv?__blob=publicationFile&amp;v=2</x:v>
      </x:c>
    </x:row>
    <x:row r="207" ht="24" customHeight="1">
      <x:c r="A207" s="6" t="str">
        <x:v>08315</x:v>
      </x:c>
      <x:c r="B207" s="2" t="str">
        <x:v>Breisgau-Hochschwarzwald</x:v>
      </x:c>
      <x:c r="C207" s="2" t="n">
        <x:v>135</x:v>
      </x:c>
      <x:c r="D207" s="2" t="str">
        <x:v>Freiburg</x:v>
      </x:c>
      <x:c r="E207" s="8" t="n">
        <x:v>2936.912429378531</x:v>
      </x:c>
      <x:c r="F207" s="7" t="n">
        <x:v>55765</x:v>
      </x:c>
      <x:c r="G207" s="8" t="n">
        <x:f>E207*F207</x:f>
        <x:v>163776921.6242938</x:v>
      </x:c>
      <x:c r="H207" s="10" t="n">
        <x:f>F207/SUMIF($C$2:$C$403,C207,$F$2:$F$403)</x:f>
        <x:v>0.3308572682990501</x:v>
      </x:c>
      <x:c r="I207" s="2" t="str">
        <x:v>https://statistik.arbeitsagentur.de/Statistikdaten/Detail/201512/iiia6/beschaeftigung-entgelt-entgelt/entgelt-d-0-201512-xlsm.xlsm?__blob=publicationFile&amp;v=2</x:v>
      </x:c>
      <x:c r="J207" s="2" t="str">
        <x:v>https://statistik.arbeitsagentur.de/Statistikdaten/Detail/201512/iiia6/beschaeftigung-sozbe-svb-kreise-merkmale/svb-kreise-merkmale-d-0-201512-xlsx.xlsx?__blob=publicationFile&amp;v=1</x:v>
      </x:c>
      <x:c r="K207" s="2" t="str">
        <x:v>https://www.bbsr.bund.de/BBSR/DE/forschung/raumbeobachtung/Raumabgrenzungen/deutschland/regionen/arbeitsmarktregionen/arbeitsmarktregionen-2017.csv?__blob=publicationFile&amp;v=2</x:v>
      </x:c>
    </x:row>
    <x:row r="208" ht="24" customHeight="1">
      <x:c r="A208" s="6" t="str">
        <x:v>08316</x:v>
      </x:c>
      <x:c r="B208" s="2" t="str">
        <x:v>Emmendingen</x:v>
      </x:c>
      <x:c r="C208" s="2" t="n">
        <x:v>135</x:v>
      </x:c>
      <x:c r="D208" s="2" t="str">
        <x:v>Freiburg</x:v>
      </x:c>
      <x:c r="E208" s="8" t="n">
        <x:v>3058.529197080292</x:v>
      </x:c>
      <x:c r="F208" s="7" t="n">
        <x:v>34680</x:v>
      </x:c>
      <x:c r="G208" s="8" t="n">
        <x:f>E208*F208</x:f>
        <x:v>106069792.55474453</x:v>
      </x:c>
      <x:c r="H208" s="10" t="n">
        <x:f>F208/SUMIF($C$2:$C$403,C208,$F$2:$F$403)</x:f>
        <x:v>0.20575863112366283</x:v>
      </x:c>
      <x:c r="I208" s="2" t="str">
        <x:v>https://statistik.arbeitsagentur.de/Statistikdaten/Detail/201512/iiia6/beschaeftigung-entgelt-entgelt/entgelt-d-0-201512-xlsm.xlsm?__blob=publicationFile&amp;v=2</x:v>
      </x:c>
      <x:c r="J208" s="2" t="str">
        <x:v>https://statistik.arbeitsagentur.de/Statistikdaten/Detail/201512/iiia6/beschaeftigung-sozbe-svb-kreise-merkmale/svb-kreise-merkmale-d-0-201512-xlsx.xlsx?__blob=publicationFile&amp;v=1</x:v>
      </x:c>
      <x:c r="K208" s="2" t="str">
        <x:v>https://www.bbsr.bund.de/BBSR/DE/forschung/raumbeobachtung/Raumabgrenzungen/deutschland/regionen/arbeitsmarktregionen/arbeitsmarktregionen-2017.csv?__blob=publicationFile&amp;v=2</x:v>
      </x:c>
    </x:row>
    <x:row r="209" ht="24" customHeight="1">
      <x:c r="A209" s="6" t="str">
        <x:v>08317</x:v>
      </x:c>
      <x:c r="B209" s="2" t="str">
        <x:v>Ortenaukreis</x:v>
      </x:c>
      <x:c r="C209" s="2" t="n">
        <x:v>136</x:v>
      </x:c>
      <x:c r="D209" s="2" t="str">
        <x:v>Offenburg</x:v>
      </x:c>
      <x:c r="E209" s="8" t="n">
        <x:v>3080.5719246031745</x:v>
      </x:c>
      <x:c r="F209" s="7" t="n">
        <x:v>127790</x:v>
      </x:c>
      <x:c r="G209" s="8" t="n">
        <x:f>E209*F209</x:f>
        <x:v>393666286.24503964</x:v>
      </x:c>
      <x:c r="H209" s="10" t="n">
        <x:f>F209/SUMIF($C$2:$C$403,C209,$F$2:$F$403)</x:f>
        <x:v>1</x:v>
      </x:c>
      <x:c r="I209" s="2" t="str">
        <x:v>https://statistik.arbeitsagentur.de/Statistikdaten/Detail/201512/iiia6/beschaeftigung-entgelt-entgelt/entgelt-d-0-201512-xlsm.xlsm?__blob=publicationFile&amp;v=2</x:v>
      </x:c>
      <x:c r="J209" s="2" t="str">
        <x:v>https://statistik.arbeitsagentur.de/Statistikdaten/Detail/201512/iiia6/beschaeftigung-sozbe-svb-kreise-merkmale/svb-kreise-merkmale-d-0-201512-xlsx.xlsx?__blob=publicationFile&amp;v=1</x:v>
      </x:c>
      <x:c r="K209" s="2" t="str">
        <x:v>https://www.bbsr.bund.de/BBSR/DE/forschung/raumbeobachtung/Raumabgrenzungen/deutschland/regionen/arbeitsmarktregionen/arbeitsmarktregionen-2017.csv?__blob=publicationFile&amp;v=2</x:v>
      </x:c>
    </x:row>
    <x:row r="210" ht="24" customHeight="1">
      <x:c r="A210" s="6" t="str">
        <x:v>08325</x:v>
      </x:c>
      <x:c r="B210" s="2" t="str">
        <x:v>Rottweil</x:v>
      </x:c>
      <x:c r="C210" s="2" t="n">
        <x:v>137</x:v>
      </x:c>
      <x:c r="D210" s="2" t="str">
        <x:v>Rottweil</x:v>
      </x:c>
      <x:c r="E210" s="8" t="n">
        <x:v>3244.022906793049</x:v>
      </x:c>
      <x:c r="F210" s="7" t="n">
        <x:v>42099</x:v>
      </x:c>
      <x:c r="G210" s="8" t="n">
        <x:f>E210*F210</x:f>
        <x:v>136570120.35308057</x:v>
      </x:c>
      <x:c r="H210" s="10" t="n">
        <x:f>F210/SUMIF($C$2:$C$403,C210,$F$2:$F$403)</x:f>
        <x:v>1</x:v>
      </x:c>
      <x:c r="I210" s="2" t="str">
        <x:v>https://statistik.arbeitsagentur.de/Statistikdaten/Detail/201512/iiia6/beschaeftigung-entgelt-entgelt/entgelt-d-0-201512-xlsm.xlsm?__blob=publicationFile&amp;v=2</x:v>
      </x:c>
      <x:c r="J210" s="2" t="str">
        <x:v>https://statistik.arbeitsagentur.de/Statistikdaten/Detail/201512/iiia6/beschaeftigung-sozbe-svb-kreise-merkmale/svb-kreise-merkmale-d-0-201512-xlsx.xlsx?__blob=publicationFile&amp;v=1</x:v>
      </x:c>
      <x:c r="K210" s="2" t="str">
        <x:v>https://www.bbsr.bund.de/BBSR/DE/forschung/raumbeobachtung/Raumabgrenzungen/deutschland/regionen/arbeitsmarktregionen/arbeitsmarktregionen-2017.csv?__blob=publicationFile&amp;v=2</x:v>
      </x:c>
    </x:row>
    <x:row r="211" ht="24" customHeight="1">
      <x:c r="A211" s="6" t="str">
        <x:v>08326</x:v>
      </x:c>
      <x:c r="B211" s="2" t="str">
        <x:v>Schwarzwald-Baar-Kreis</x:v>
      </x:c>
      <x:c r="C211" s="2" t="n">
        <x:v>138</x:v>
      </x:c>
      <x:c r="D211" s="2" t="str">
        <x:v>Villingen-Schwenningen</x:v>
      </x:c>
      <x:c r="E211" s="8" t="n">
        <x:v>3134.468253968254</x:v>
      </x:c>
      <x:c r="F211" s="7" t="n">
        <x:v>64085</x:v>
      </x:c>
      <x:c r="G211" s="8" t="n">
        <x:f>E211*F211</x:f>
        <x:v>200872398.05555555</x:v>
      </x:c>
      <x:c r="H211" s="10" t="n">
        <x:f>F211/SUMIF($C$2:$C$403,C211,$F$2:$F$403)</x:f>
        <x:v>1</x:v>
      </x:c>
      <x:c r="I211" s="2" t="str">
        <x:v>https://statistik.arbeitsagentur.de/Statistikdaten/Detail/201512/iiia6/beschaeftigung-entgelt-entgelt/entgelt-d-0-201512-xlsm.xlsm?__blob=publicationFile&amp;v=2</x:v>
      </x:c>
      <x:c r="J211" s="2" t="str">
        <x:v>https://statistik.arbeitsagentur.de/Statistikdaten/Detail/201512/iiia6/beschaeftigung-sozbe-svb-kreise-merkmale/svb-kreise-merkmale-d-0-201512-xlsx.xlsx?__blob=publicationFile&amp;v=1</x:v>
      </x:c>
      <x:c r="K211" s="2" t="str">
        <x:v>https://www.bbsr.bund.de/BBSR/DE/forschung/raumbeobachtung/Raumabgrenzungen/deutschland/regionen/arbeitsmarktregionen/arbeitsmarktregionen-2017.csv?__blob=publicationFile&amp;v=2</x:v>
      </x:c>
    </x:row>
    <x:row r="212" ht="24" customHeight="1">
      <x:c r="A212" s="6" t="str">
        <x:v>08327</x:v>
      </x:c>
      <x:c r="B212" s="2" t="str">
        <x:v>Tuttlingen</x:v>
      </x:c>
      <x:c r="C212" s="2" t="n">
        <x:v>139</x:v>
      </x:c>
      <x:c r="D212" s="2" t="str">
        <x:v>Tuttlingen</x:v>
      </x:c>
      <x:c r="E212" s="8" t="n">
        <x:v>3349.7198100407054</x:v>
      </x:c>
      <x:c r="F212" s="7" t="n">
        <x:v>50518</x:v>
      </x:c>
      <x:c r="G212" s="8" t="n">
        <x:f>E212*F212</x:f>
        <x:v>169221145.36363634</x:v>
      </x:c>
      <x:c r="H212" s="10" t="n">
        <x:f>F212/SUMIF($C$2:$C$403,C212,$F$2:$F$403)</x:f>
        <x:v>1</x:v>
      </x:c>
      <x:c r="I212" s="2" t="str">
        <x:v>https://statistik.arbeitsagentur.de/Statistikdaten/Detail/201512/iiia6/beschaeftigung-entgelt-entgelt/entgelt-d-0-201512-xlsm.xlsm?__blob=publicationFile&amp;v=2</x:v>
      </x:c>
      <x:c r="J212" s="2" t="str">
        <x:v>https://statistik.arbeitsagentur.de/Statistikdaten/Detail/201512/iiia6/beschaeftigung-sozbe-svb-kreise-merkmale/svb-kreise-merkmale-d-0-201512-xlsx.xlsx?__blob=publicationFile&amp;v=1</x:v>
      </x:c>
      <x:c r="K212" s="2" t="str">
        <x:v>https://www.bbsr.bund.de/BBSR/DE/forschung/raumbeobachtung/Raumabgrenzungen/deutschland/regionen/arbeitsmarktregionen/arbeitsmarktregionen-2017.csv?__blob=publicationFile&amp;v=2</x:v>
      </x:c>
    </x:row>
    <x:row r="213" ht="24" customHeight="1">
      <x:c r="A213" s="6" t="str">
        <x:v>08335</x:v>
      </x:c>
      <x:c r="B213" s="2" t="str">
        <x:v>Konstanz</x:v>
      </x:c>
      <x:c r="C213" s="2" t="n">
        <x:v>140</x:v>
      </x:c>
      <x:c r="D213" s="2" t="str">
        <x:v>Konstanz</x:v>
      </x:c>
      <x:c r="E213" s="8" t="n">
        <x:v>3123.980662983425</x:v>
      </x:c>
      <x:c r="F213" s="7" t="n">
        <x:v>67676</x:v>
      </x:c>
      <x:c r="G213" s="8" t="n">
        <x:f>E213*F213</x:f>
        <x:v>211418515.34806627</x:v>
      </x:c>
      <x:c r="H213" s="10" t="n">
        <x:f>F213/SUMIF($C$2:$C$403,C213,$F$2:$F$403)</x:f>
        <x:v>1</x:v>
      </x:c>
      <x:c r="I213" s="2" t="str">
        <x:v>https://statistik.arbeitsagentur.de/Statistikdaten/Detail/201512/iiia6/beschaeftigung-entgelt-entgelt/entgelt-d-0-201512-xlsm.xlsm?__blob=publicationFile&amp;v=2</x:v>
      </x:c>
      <x:c r="J213" s="2" t="str">
        <x:v>https://statistik.arbeitsagentur.de/Statistikdaten/Detail/201512/iiia6/beschaeftigung-sozbe-svb-kreise-merkmale/svb-kreise-merkmale-d-0-201512-xlsx.xlsx?__blob=publicationFile&amp;v=1</x:v>
      </x:c>
      <x:c r="K213" s="2" t="str">
        <x:v>https://www.bbsr.bund.de/BBSR/DE/forschung/raumbeobachtung/Raumabgrenzungen/deutschland/regionen/arbeitsmarktregionen/arbeitsmarktregionen-2017.csv?__blob=publicationFile&amp;v=2</x:v>
      </x:c>
    </x:row>
    <x:row r="214" ht="24" customHeight="1">
      <x:c r="A214" s="6" t="str">
        <x:v>08336</x:v>
      </x:c>
      <x:c r="B214" s="2" t="str">
        <x:v>Lörrach</x:v>
      </x:c>
      <x:c r="C214" s="2" t="n">
        <x:v>141</x:v>
      </x:c>
      <x:c r="D214" s="2" t="str">
        <x:v>Lörrach</x:v>
      </x:c>
      <x:c r="E214" s="8" t="n">
        <x:v>3254.7665726375176</x:v>
      </x:c>
      <x:c r="F214" s="7" t="n">
        <x:v>55845</x:v>
      </x:c>
      <x:c r="G214" s="8" t="n">
        <x:f>E214*F214</x:f>
        <x:v>181762439.24894217</x:v>
      </x:c>
      <x:c r="H214" s="10" t="n">
        <x:f>F214/SUMIF($C$2:$C$403,C214,$F$2:$F$403)</x:f>
        <x:v>1</x:v>
      </x:c>
      <x:c r="I214" s="2" t="str">
        <x:v>https://statistik.arbeitsagentur.de/Statistikdaten/Detail/201512/iiia6/beschaeftigung-entgelt-entgelt/entgelt-d-0-201512-xlsm.xlsm?__blob=publicationFile&amp;v=2</x:v>
      </x:c>
      <x:c r="J214" s="2" t="str">
        <x:v>https://statistik.arbeitsagentur.de/Statistikdaten/Detail/201512/iiia6/beschaeftigung-sozbe-svb-kreise-merkmale/svb-kreise-merkmale-d-0-201512-xlsx.xlsx?__blob=publicationFile&amp;v=1</x:v>
      </x:c>
      <x:c r="K214" s="2" t="str">
        <x:v>https://www.bbsr.bund.de/BBSR/DE/forschung/raumbeobachtung/Raumabgrenzungen/deutschland/regionen/arbeitsmarktregionen/arbeitsmarktregionen-2017.csv?__blob=publicationFile&amp;v=2</x:v>
      </x:c>
    </x:row>
    <x:row r="215" ht="24" customHeight="1">
      <x:c r="A215" s="6" t="str">
        <x:v>08337</x:v>
      </x:c>
      <x:c r="B215" s="2" t="str">
        <x:v>Waldshut</x:v>
      </x:c>
      <x:c r="C215" s="2" t="n">
        <x:v>142</x:v>
      </x:c>
      <x:c r="D215" s="2" t="str">
        <x:v>Waldshut</x:v>
      </x:c>
      <x:c r="E215" s="8" t="n">
        <x:v>3014.3306451612902</x:v>
      </x:c>
      <x:c r="F215" s="7" t="n">
        <x:v>38157</x:v>
      </x:c>
      <x:c r="G215" s="8" t="n">
        <x:f>E215*F215</x:f>
        <x:v>115017814.42741935</x:v>
      </x:c>
      <x:c r="H215" s="10" t="n">
        <x:f>F215/SUMIF($C$2:$C$403,C215,$F$2:$F$403)</x:f>
        <x:v>1</x:v>
      </x:c>
      <x:c r="I215" s="2" t="str">
        <x:v>https://statistik.arbeitsagentur.de/Statistikdaten/Detail/201512/iiia6/beschaeftigung-entgelt-entgelt/entgelt-d-0-201512-xlsm.xlsm?__blob=publicationFile&amp;v=2</x:v>
      </x:c>
      <x:c r="J215" s="2" t="str">
        <x:v>https://statistik.arbeitsagentur.de/Statistikdaten/Detail/201512/iiia6/beschaeftigung-sozbe-svb-kreise-merkmale/svb-kreise-merkmale-d-0-201512-xlsx.xlsx?__blob=publicationFile&amp;v=1</x:v>
      </x:c>
      <x:c r="K215" s="2" t="str">
        <x:v>https://www.bbsr.bund.de/BBSR/DE/forschung/raumbeobachtung/Raumabgrenzungen/deutschland/regionen/arbeitsmarktregionen/arbeitsmarktregionen-2017.csv?__blob=publicationFile&amp;v=2</x:v>
      </x:c>
    </x:row>
    <x:row r="216" ht="24" customHeight="1">
      <x:c r="A216" s="6" t="str">
        <x:v>08415</x:v>
      </x:c>
      <x:c r="B216" s="2" t="str">
        <x:v>Reutlingen</x:v>
      </x:c>
      <x:c r="C216" s="2" t="n">
        <x:v>143</x:v>
      </x:c>
      <x:c r="D216" s="2" t="str">
        <x:v>Reutlingen/Tübingen</x:v>
      </x:c>
      <x:c r="E216" s="8" t="n">
        <x:v>3351.142927794263</x:v>
      </x:c>
      <x:c r="F216" s="7" t="n">
        <x:v>80704</x:v>
      </x:c>
      <x:c r="G216" s="8" t="n">
        <x:f>E216*F216</x:f>
        <x:v>270450638.8447082</x:v>
      </x:c>
      <x:c r="H216" s="10" t="n">
        <x:f>F216/SUMIF($C$2:$C$403,C216,$F$2:$F$403)</x:f>
        <x:v>0.617456236993512</x:v>
      </x:c>
      <x:c r="I216" s="2" t="str">
        <x:v>https://statistik.arbeitsagentur.de/Statistikdaten/Detail/201512/iiia6/beschaeftigung-entgelt-entgelt/entgelt-d-0-201512-xlsm.xlsm?__blob=publicationFile&amp;v=2</x:v>
      </x:c>
      <x:c r="J216" s="2" t="str">
        <x:v>https://statistik.arbeitsagentur.de/Statistikdaten/Detail/201512/iiia6/beschaeftigung-sozbe-svb-kreise-merkmale/svb-kreise-merkmale-d-0-201512-xlsx.xlsx?__blob=publicationFile&amp;v=1</x:v>
      </x:c>
      <x:c r="K216" s="2" t="str">
        <x:v>https://www.bbsr.bund.de/BBSR/DE/forschung/raumbeobachtung/Raumabgrenzungen/deutschland/regionen/arbeitsmarktregionen/arbeitsmarktregionen-2017.csv?__blob=publicationFile&amp;v=2</x:v>
      </x:c>
    </x:row>
    <x:row r="217" ht="24" customHeight="1">
      <x:c r="A217" s="6" t="str">
        <x:v>08416</x:v>
      </x:c>
      <x:c r="B217" s="2" t="str">
        <x:v>Tübingen</x:v>
      </x:c>
      <x:c r="C217" s="2" t="n">
        <x:v>143</x:v>
      </x:c>
      <x:c r="D217" s="2" t="str">
        <x:v>Reutlingen/Tübingen</x:v>
      </x:c>
      <x:c r="E217" s="8" t="n">
        <x:v>3335.8030303030305</x:v>
      </x:c>
      <x:c r="F217" s="7" t="n">
        <x:v>50000</x:v>
      </x:c>
      <x:c r="G217" s="8" t="n">
        <x:f>E217*F217</x:f>
        <x:v>166790151.51515153</x:v>
      </x:c>
      <x:c r="H217" s="10" t="n">
        <x:f>F217/SUMIF($C$2:$C$403,C217,$F$2:$F$403)</x:f>
        <x:v>0.38254376300648796</x:v>
      </x:c>
      <x:c r="I217" s="2" t="str">
        <x:v>https://statistik.arbeitsagentur.de/Statistikdaten/Detail/201512/iiia6/beschaeftigung-entgelt-entgelt/entgelt-d-0-201512-xlsm.xlsm?__blob=publicationFile&amp;v=2</x:v>
      </x:c>
      <x:c r="J217" s="2" t="str">
        <x:v>https://statistik.arbeitsagentur.de/Statistikdaten/Detail/201512/iiia6/beschaeftigung-sozbe-svb-kreise-merkmale/svb-kreise-merkmale-d-0-201512-xlsx.xlsx?__blob=publicationFile&amp;v=1</x:v>
      </x:c>
      <x:c r="K217" s="2" t="str">
        <x:v>https://www.bbsr.bund.de/BBSR/DE/forschung/raumbeobachtung/Raumabgrenzungen/deutschland/regionen/arbeitsmarktregionen/arbeitsmarktregionen-2017.csv?__blob=publicationFile&amp;v=2</x:v>
      </x:c>
    </x:row>
    <x:row r="218" ht="24" customHeight="1">
      <x:c r="A218" s="6" t="str">
        <x:v>08417</x:v>
      </x:c>
      <x:c r="B218" s="2" t="str">
        <x:v>Zollernalbkreis</x:v>
      </x:c>
      <x:c r="C218" s="2" t="n">
        <x:v>144</x:v>
      </x:c>
      <x:c r="D218" s="2" t="str">
        <x:v>Balingen</x:v>
      </x:c>
      <x:c r="E218" s="8" t="n">
        <x:v>3122.9341192787797</x:v>
      </x:c>
      <x:c r="F218" s="7" t="n">
        <x:v>48978</x:v>
      </x:c>
      <x:c r="G218" s="8" t="n">
        <x:f>E218*F218</x:f>
        <x:v>152955067.29403606</x:v>
      </x:c>
      <x:c r="H218" s="10" t="n">
        <x:f>F218/SUMIF($C$2:$C$403,C218,$F$2:$F$403)</x:f>
        <x:v>1</x:v>
      </x:c>
      <x:c r="I218" s="2" t="str">
        <x:v>https://statistik.arbeitsagentur.de/Statistikdaten/Detail/201512/iiia6/beschaeftigung-entgelt-entgelt/entgelt-d-0-201512-xlsm.xlsm?__blob=publicationFile&amp;v=2</x:v>
      </x:c>
      <x:c r="J218" s="2" t="str">
        <x:v>https://statistik.arbeitsagentur.de/Statistikdaten/Detail/201512/iiia6/beschaeftigung-sozbe-svb-kreise-merkmale/svb-kreise-merkmale-d-0-201512-xlsx.xlsx?__blob=publicationFile&amp;v=1</x:v>
      </x:c>
      <x:c r="K218" s="2" t="str">
        <x:v>https://www.bbsr.bund.de/BBSR/DE/forschung/raumbeobachtung/Raumabgrenzungen/deutschland/regionen/arbeitsmarktregionen/arbeitsmarktregionen-2017.csv?__blob=publicationFile&amp;v=2</x:v>
      </x:c>
    </x:row>
    <x:row r="219" ht="24" customHeight="1">
      <x:c r="A219" s="6" t="str">
        <x:v>08421</x:v>
      </x:c>
      <x:c r="B219" s="2" t="str">
        <x:v>Ulm, Universitätsstadt</x:v>
      </x:c>
      <x:c r="C219" s="2" t="n">
        <x:v>145</x:v>
      </x:c>
      <x:c r="D219" s="2" t="str">
        <x:v>Ulm</x:v>
      </x:c>
      <x:c r="E219" s="8" t="n">
        <x:v>3518.352870813397</x:v>
      </x:c>
      <x:c r="F219" s="7" t="n">
        <x:v>69068</x:v>
      </x:c>
      <x:c r="G219" s="8" t="n">
        <x:f>E219*F219</x:f>
        <x:v>243005596.08133972</x:v>
      </x:c>
      <x:c r="H219" s="10" t="n">
        <x:f>F219/SUMIF($C$2:$C$403,C219,$F$2:$F$403)</x:f>
        <x:v>0.44266981144168277</x:v>
      </x:c>
      <x:c r="I219" s="2" t="str">
        <x:v>https://statistik.arbeitsagentur.de/Statistikdaten/Detail/201512/iiia6/beschaeftigung-entgelt-entgelt/entgelt-d-0-201512-xlsm.xlsm?__blob=publicationFile&amp;v=2</x:v>
      </x:c>
      <x:c r="J219" s="2" t="str">
        <x:v>https://statistik.arbeitsagentur.de/Statistikdaten/Detail/201512/iiia6/beschaeftigung-sozbe-svb-kreise-merkmale/svb-kreise-merkmale-d-0-201512-xlsx.xlsx?__blob=publicationFile&amp;v=1</x:v>
      </x:c>
      <x:c r="K219" s="2" t="str">
        <x:v>https://www.bbsr.bund.de/BBSR/DE/forschung/raumbeobachtung/Raumabgrenzungen/deutschland/regionen/arbeitsmarktregionen/arbeitsmarktregionen-2017.csv?__blob=publicationFile&amp;v=2</x:v>
      </x:c>
    </x:row>
    <x:row r="220" ht="24" customHeight="1">
      <x:c r="A220" s="6" t="str">
        <x:v>08425</x:v>
      </x:c>
      <x:c r="B220" s="2" t="str">
        <x:v>Alb-Donau-Kreis</x:v>
      </x:c>
      <x:c r="C220" s="2" t="n">
        <x:v>145</x:v>
      </x:c>
      <x:c r="D220" s="2" t="str">
        <x:v>Ulm</x:v>
      </x:c>
      <x:c r="E220" s="8" t="n">
        <x:v>3144.292808219178</x:v>
      </x:c>
      <x:c r="F220" s="7" t="n">
        <x:v>39625</x:v>
      </x:c>
      <x:c r="G220" s="8" t="n">
        <x:f>E220*F220</x:f>
        <x:v>124592602.52568492</x:v>
      </x:c>
      <x:c r="H220" s="10" t="n">
        <x:f>F220/SUMIF($C$2:$C$403,C220,$F$2:$F$403)</x:f>
        <x:v>0.2539640829092587</x:v>
      </x:c>
      <x:c r="I220" s="2" t="str">
        <x:v>https://statistik.arbeitsagentur.de/Statistikdaten/Detail/201512/iiia6/beschaeftigung-entgelt-entgelt/entgelt-d-0-201512-xlsm.xlsm?__blob=publicationFile&amp;v=2</x:v>
      </x:c>
      <x:c r="J220" s="2" t="str">
        <x:v>https://statistik.arbeitsagentur.de/Statistikdaten/Detail/201512/iiia6/beschaeftigung-sozbe-svb-kreise-merkmale/svb-kreise-merkmale-d-0-201512-xlsx.xlsx?__blob=publicationFile&amp;v=1</x:v>
      </x:c>
      <x:c r="K220" s="2" t="str">
        <x:v>https://www.bbsr.bund.de/BBSR/DE/forschung/raumbeobachtung/Raumabgrenzungen/deutschland/regionen/arbeitsmarktregionen/arbeitsmarktregionen-2017.csv?__blob=publicationFile&amp;v=2</x:v>
      </x:c>
    </x:row>
    <x:row r="221" ht="24" customHeight="1">
      <x:c r="A221" s="6" t="str">
        <x:v>08426</x:v>
      </x:c>
      <x:c r="B221" s="2" t="str">
        <x:v>Biberach</x:v>
      </x:c>
      <x:c r="C221" s="2" t="n">
        <x:v>146</x:v>
      </x:c>
      <x:c r="D221" s="2" t="str">
        <x:v>Biberach</x:v>
      </x:c>
      <x:c r="E221" s="8" t="n">
        <x:v>3546.4484924623116</x:v>
      </x:c>
      <x:c r="F221" s="7" t="n">
        <x:v>60293</x:v>
      </x:c>
      <x:c r="G221" s="8" t="n">
        <x:f>E221*F221</x:f>
        <x:v>213826018.95603016</x:v>
      </x:c>
      <x:c r="H221" s="10" t="n">
        <x:f>F221/SUMIF($C$2:$C$403,C221,$F$2:$F$403)</x:f>
        <x:v>1</x:v>
      </x:c>
      <x:c r="I221" s="2" t="str">
        <x:v>https://statistik.arbeitsagentur.de/Statistikdaten/Detail/201512/iiia6/beschaeftigung-entgelt-entgelt/entgelt-d-0-201512-xlsm.xlsm?__blob=publicationFile&amp;v=2</x:v>
      </x:c>
      <x:c r="J221" s="2" t="str">
        <x:v>https://statistik.arbeitsagentur.de/Statistikdaten/Detail/201512/iiia6/beschaeftigung-sozbe-svb-kreise-merkmale/svb-kreise-merkmale-d-0-201512-xlsx.xlsx?__blob=publicationFile&amp;v=1</x:v>
      </x:c>
      <x:c r="K221" s="2" t="str">
        <x:v>https://www.bbsr.bund.de/BBSR/DE/forschung/raumbeobachtung/Raumabgrenzungen/deutschland/regionen/arbeitsmarktregionen/arbeitsmarktregionen-2017.csv?__blob=publicationFile&amp;v=2</x:v>
      </x:c>
    </x:row>
    <x:row r="222" ht="24" customHeight="1">
      <x:c r="A222" s="6" t="str">
        <x:v>08435</x:v>
      </x:c>
      <x:c r="B222" s="2" t="str">
        <x:v>Bodenseekreis</x:v>
      </x:c>
      <x:c r="C222" s="2" t="n">
        <x:v>147</x:v>
      </x:c>
      <x:c r="D222" s="2" t="str">
        <x:v>Friedrichshafen</x:v>
      </x:c>
      <x:c r="E222" s="8" t="n">
        <x:v>3757.3355640535374</x:v>
      </x:c>
      <x:c r="F222" s="7" t="n">
        <x:v>65668</x:v>
      </x:c>
      <x:c r="G222" s="8" t="n">
        <x:f>E222*F222</x:f>
        <x:v>246736711.8202677</x:v>
      </x:c>
      <x:c r="H222" s="10" t="n">
        <x:f>F222/SUMIF($C$2:$C$403,C222,$F$2:$F$403)</x:f>
        <x:v>1</x:v>
      </x:c>
      <x:c r="I222" s="2" t="str">
        <x:v>https://statistik.arbeitsagentur.de/Statistikdaten/Detail/201512/iiia6/beschaeftigung-entgelt-entgelt/entgelt-d-0-201512-xlsm.xlsm?__blob=publicationFile&amp;v=2</x:v>
      </x:c>
      <x:c r="J222" s="2" t="str">
        <x:v>https://statistik.arbeitsagentur.de/Statistikdaten/Detail/201512/iiia6/beschaeftigung-sozbe-svb-kreise-merkmale/svb-kreise-merkmale-d-0-201512-xlsx.xlsx?__blob=publicationFile&amp;v=1</x:v>
      </x:c>
      <x:c r="K222" s="2" t="str">
        <x:v>https://www.bbsr.bund.de/BBSR/DE/forschung/raumbeobachtung/Raumabgrenzungen/deutschland/regionen/arbeitsmarktregionen/arbeitsmarktregionen-2017.csv?__blob=publicationFile&amp;v=2</x:v>
      </x:c>
    </x:row>
    <x:row r="223" ht="24" customHeight="1">
      <x:c r="A223" s="6" t="str">
        <x:v>08436</x:v>
      </x:c>
      <x:c r="B223" s="2" t="str">
        <x:v>Ravensburg</x:v>
      </x:c>
      <x:c r="C223" s="2" t="n">
        <x:v>148</x:v>
      </x:c>
      <x:c r="D223" s="2" t="str">
        <x:v>Ravensburg</x:v>
      </x:c>
      <x:c r="E223" s="8" t="n">
        <x:v>3119.087047939445</x:v>
      </x:c>
      <x:c r="F223" s="7" t="n">
        <x:v>80986</x:v>
      </x:c>
      <x:c r="G223" s="8" t="n">
        <x:f>E223*F223</x:f>
        <x:v>252602383.66442388</x:v>
      </x:c>
      <x:c r="H223" s="10" t="n">
        <x:f>F223/SUMIF($C$2:$C$403,C223,$F$2:$F$403)</x:f>
        <x:v>1</x:v>
      </x:c>
      <x:c r="I223" s="2" t="str">
        <x:v>https://statistik.arbeitsagentur.de/Statistikdaten/Detail/201512/iiia6/beschaeftigung-entgelt-entgelt/entgelt-d-0-201512-xlsm.xlsm?__blob=publicationFile&amp;v=2</x:v>
      </x:c>
      <x:c r="J223" s="2" t="str">
        <x:v>https://statistik.arbeitsagentur.de/Statistikdaten/Detail/201512/iiia6/beschaeftigung-sozbe-svb-kreise-merkmale/svb-kreise-merkmale-d-0-201512-xlsx.xlsx?__blob=publicationFile&amp;v=1</x:v>
      </x:c>
      <x:c r="K223" s="2" t="str">
        <x:v>https://www.bbsr.bund.de/BBSR/DE/forschung/raumbeobachtung/Raumabgrenzungen/deutschland/regionen/arbeitsmarktregionen/arbeitsmarktregionen-2017.csv?__blob=publicationFile&amp;v=2</x:v>
      </x:c>
    </x:row>
    <x:row r="224" ht="24" customHeight="1">
      <x:c r="A224" s="6" t="str">
        <x:v>08437</x:v>
      </x:c>
      <x:c r="B224" s="2" t="str">
        <x:v>Sigmaringen</x:v>
      </x:c>
      <x:c r="C224" s="2" t="n">
        <x:v>149</x:v>
      </x:c>
      <x:c r="D224" s="2" t="str">
        <x:v>Sigmaringen</x:v>
      </x:c>
      <x:c r="E224" s="8" t="n">
        <x:v>3191.079044117647</x:v>
      </x:c>
      <x:c r="F224" s="7" t="n">
        <x:v>34054</x:v>
      </x:c>
      <x:c r="G224" s="8" t="n">
        <x:f>E224*F224</x:f>
        <x:v>108669005.76838234</x:v>
      </x:c>
      <x:c r="H224" s="10" t="n">
        <x:f>F224/SUMIF($C$2:$C$403,C224,$F$2:$F$403)</x:f>
        <x:v>1</x:v>
      </x:c>
      <x:c r="I224" s="2" t="str">
        <x:v>https://statistik.arbeitsagentur.de/Statistikdaten/Detail/201512/iiia6/beschaeftigung-entgelt-entgelt/entgelt-d-0-201512-xlsm.xlsm?__blob=publicationFile&amp;v=2</x:v>
      </x:c>
      <x:c r="J224" s="2" t="str">
        <x:v>https://statistik.arbeitsagentur.de/Statistikdaten/Detail/201512/iiia6/beschaeftigung-sozbe-svb-kreise-merkmale/svb-kreise-merkmale-d-0-201512-xlsx.xlsx?__blob=publicationFile&amp;v=1</x:v>
      </x:c>
      <x:c r="K224" s="2" t="str">
        <x:v>https://www.bbsr.bund.de/BBSR/DE/forschung/raumbeobachtung/Raumabgrenzungen/deutschland/regionen/arbeitsmarktregionen/arbeitsmarktregionen-2017.csv?__blob=publicationFile&amp;v=2</x:v>
      </x:c>
    </x:row>
    <x:row r="225" ht="24" customHeight="1">
      <x:c r="A225" s="6" t="str">
        <x:v>09161</x:v>
      </x:c>
      <x:c r="B225" s="2" t="str">
        <x:v>Ingolstadt, Stadt</x:v>
      </x:c>
      <x:c r="C225" s="2" t="n">
        <x:v>160</x:v>
      </x:c>
      <x:c r="D225" s="2" t="str">
        <x:v>Ingolstadt</x:v>
      </x:c>
      <x:c r="E225" s="8" t="n">
        <x:v>4542.213286713287</x:v>
      </x:c>
      <x:c r="F225" s="7" t="n">
        <x:v>84256</x:v>
      </x:c>
      <x:c r="G225" s="8" t="n">
        <x:f>E225*F225</x:f>
        <x:v>382708722.6853147</x:v>
      </x:c>
      <x:c r="H225" s="10" t="n">
        <x:f>F225/SUMIF($C$2:$C$403,C225,$F$2:$F$403)</x:f>
        <x:v>0.5137153762201777</x:v>
      </x:c>
      <x:c r="I225" s="2" t="str">
        <x:v>https://statistik.arbeitsagentur.de/Statistikdaten/Detail/201512/iiia6/beschaeftigung-entgelt-entgelt/entgelt-d-0-201512-xlsm.xlsm?__blob=publicationFile&amp;v=2</x:v>
      </x:c>
      <x:c r="J225" s="2" t="str">
        <x:v>https://statistik.arbeitsagentur.de/Statistikdaten/Detail/201512/iiia6/beschaeftigung-sozbe-svb-kreise-merkmale/svb-kreise-merkmale-d-0-201512-xlsx.xlsx?__blob=publicationFile&amp;v=1</x:v>
      </x:c>
      <x:c r="K225" s="2" t="str">
        <x:v>https://www.bbsr.bund.de/BBSR/DE/forschung/raumbeobachtung/Raumabgrenzungen/deutschland/regionen/arbeitsmarktregionen/arbeitsmarktregionen-2017.csv?__blob=publicationFile&amp;v=2</x:v>
      </x:c>
    </x:row>
    <x:row r="226" ht="24" customHeight="1">
      <x:c r="A226" s="6" t="str">
        <x:v>09162</x:v>
      </x:c>
      <x:c r="B226" s="2" t="str">
        <x:v>München, Landeshauptstadt</x:v>
      </x:c>
      <x:c r="C226" s="2" t="n">
        <x:v>159</x:v>
      </x:c>
      <x:c r="D226" s="2" t="str">
        <x:v>München</x:v>
      </x:c>
      <x:c r="E226" s="8" t="n">
        <x:v>3963.5922242314646</x:v>
      </x:c>
      <x:c r="F226" s="7" t="n">
        <x:v>612191</x:v>
      </x:c>
      <x:c r="G226" s="8" t="n">
        <x:f>E226*F226</x:f>
        <x:v>2426475487.3444843</x:v>
      </x:c>
      <x:c r="H226" s="10" t="n">
        <x:f>F226/SUMIF($C$2:$C$403,C226,$F$2:$F$403)</x:f>
        <x:v>0.6165493876210935</x:v>
      </x:c>
      <x:c r="I226" s="2" t="str">
        <x:v>https://statistik.arbeitsagentur.de/Statistikdaten/Detail/201512/iiia6/beschaeftigung-entgelt-entgelt/entgelt-d-0-201512-xlsm.xlsm?__blob=publicationFile&amp;v=2</x:v>
      </x:c>
      <x:c r="J226" s="2" t="str">
        <x:v>https://statistik.arbeitsagentur.de/Statistikdaten/Detail/201512/iiia6/beschaeftigung-sozbe-svb-kreise-merkmale/svb-kreise-merkmale-d-0-201512-xlsx.xlsx?__blob=publicationFile&amp;v=1</x:v>
      </x:c>
      <x:c r="K226" s="2" t="str">
        <x:v>https://www.bbsr.bund.de/BBSR/DE/forschung/raumbeobachtung/Raumabgrenzungen/deutschland/regionen/arbeitsmarktregionen/arbeitsmarktregionen-2017.csv?__blob=publicationFile&amp;v=2</x:v>
      </x:c>
    </x:row>
    <x:row r="227" ht="24" customHeight="1">
      <x:c r="A227" s="6" t="str">
        <x:v>09163</x:v>
      </x:c>
      <x:c r="B227" s="2" t="str">
        <x:v>Rosenheim, Stadt</x:v>
      </x:c>
      <x:c r="C227" s="2" t="n">
        <x:v>154</x:v>
      </x:c>
      <x:c r="D227" s="2" t="str">
        <x:v>Rosenheim</x:v>
      </x:c>
      <x:c r="E227" s="8" t="n">
        <x:v>3201.3899676375404</x:v>
      </x:c>
      <x:c r="F227" s="7" t="n">
        <x:v>24315</x:v>
      </x:c>
      <x:c r="G227" s="8" t="n">
        <x:f>E227*F227</x:f>
        <x:v>77841797.06310679</x:v>
      </x:c>
      <x:c r="H227" s="10" t="n">
        <x:f>F227/SUMIF($C$2:$C$403,C227,$F$2:$F$403)</x:f>
        <x:v>0.30177602919092006</x:v>
      </x:c>
      <x:c r="I227" s="2" t="str">
        <x:v>https://statistik.arbeitsagentur.de/Statistikdaten/Detail/201512/iiia6/beschaeftigung-entgelt-entgelt/entgelt-d-0-201512-xlsm.xlsm?__blob=publicationFile&amp;v=2</x:v>
      </x:c>
      <x:c r="J227" s="2" t="str">
        <x:v>https://statistik.arbeitsagentur.de/Statistikdaten/Detail/201512/iiia6/beschaeftigung-sozbe-svb-kreise-merkmale/svb-kreise-merkmale-d-0-201512-xlsx.xlsx?__blob=publicationFile&amp;v=1</x:v>
      </x:c>
      <x:c r="K227" s="2" t="str">
        <x:v>https://www.bbsr.bund.de/BBSR/DE/forschung/raumbeobachtung/Raumabgrenzungen/deutschland/regionen/arbeitsmarktregionen/arbeitsmarktregionen-2017.csv?__blob=publicationFile&amp;v=2</x:v>
      </x:c>
    </x:row>
    <x:row r="228" ht="24" customHeight="1">
      <x:c r="A228" s="6" t="str">
        <x:v>09171</x:v>
      </x:c>
      <x:c r="B228" s="2" t="str">
        <x:v>Altötting</x:v>
      </x:c>
      <x:c r="C228" s="2" t="n">
        <x:v>152</x:v>
      </x:c>
      <x:c r="D228" s="2" t="str">
        <x:v>Burghausen</x:v>
      </x:c>
      <x:c r="E228" s="8" t="n">
        <x:v>3432.2034700315457</x:v>
      </x:c>
      <x:c r="F228" s="7" t="n">
        <x:v>31258</x:v>
      </x:c>
      <x:c r="G228" s="8" t="n">
        <x:f>E228*F228</x:f>
        <x:v>107283816.06624606</x:v>
      </x:c>
      <x:c r="H228" s="10" t="n">
        <x:f>F228/SUMIF($C$2:$C$403,C228,$F$2:$F$403)</x:f>
        <x:v>1</x:v>
      </x:c>
      <x:c r="I228" s="2" t="str">
        <x:v>https://statistik.arbeitsagentur.de/Statistikdaten/Detail/201512/iiia6/beschaeftigung-entgelt-entgelt/entgelt-d-0-201512-xlsm.xlsm?__blob=publicationFile&amp;v=2</x:v>
      </x:c>
      <x:c r="J228" s="2" t="str">
        <x:v>https://statistik.arbeitsagentur.de/Statistikdaten/Detail/201512/iiia6/beschaeftigung-sozbe-svb-kreise-merkmale/svb-kreise-merkmale-d-0-201512-xlsx.xlsx?__blob=publicationFile&amp;v=1</x:v>
      </x:c>
      <x:c r="K228" s="2" t="str">
        <x:v>https://www.bbsr.bund.de/BBSR/DE/forschung/raumbeobachtung/Raumabgrenzungen/deutschland/regionen/arbeitsmarktregionen/arbeitsmarktregionen-2017.csv?__blob=publicationFile&amp;v=2</x:v>
      </x:c>
    </x:row>
    <x:row r="229" ht="24" customHeight="1">
      <x:c r="A229" s="6" t="str">
        <x:v>09172</x:v>
      </x:c>
      <x:c r="B229" s="2" t="str">
        <x:v>Berchtesgadener Land</x:v>
      </x:c>
      <x:c r="C229" s="2" t="n">
        <x:v>150</x:v>
      </x:c>
      <x:c r="D229" s="2" t="str">
        <x:v>Bad Reichenhall</x:v>
      </x:c>
      <x:c r="E229" s="8" t="n">
        <x:v>2780.4375</x:v>
      </x:c>
      <x:c r="F229" s="7" t="n">
        <x:v>24020</x:v>
      </x:c>
      <x:c r="G229" s="8" t="n">
        <x:f>E229*F229</x:f>
        <x:v>66786108.75</x:v>
      </x:c>
      <x:c r="H229" s="10" t="n">
        <x:f>F229/SUMIF($C$2:$C$403,C229,$F$2:$F$403)</x:f>
        <x:v>1</x:v>
      </x:c>
      <x:c r="I229" s="2" t="str">
        <x:v>https://statistik.arbeitsagentur.de/Statistikdaten/Detail/201512/iiia6/beschaeftigung-entgelt-entgelt/entgelt-d-0-201512-xlsm.xlsm?__blob=publicationFile&amp;v=2</x:v>
      </x:c>
      <x:c r="J229" s="2" t="str">
        <x:v>https://statistik.arbeitsagentur.de/Statistikdaten/Detail/201512/iiia6/beschaeftigung-sozbe-svb-kreise-merkmale/svb-kreise-merkmale-d-0-201512-xlsx.xlsx?__blob=publicationFile&amp;v=1</x:v>
      </x:c>
      <x:c r="K229" s="2" t="str">
        <x:v>https://www.bbsr.bund.de/BBSR/DE/forschung/raumbeobachtung/Raumabgrenzungen/deutschland/regionen/arbeitsmarktregionen/arbeitsmarktregionen-2017.csv?__blob=publicationFile&amp;v=2</x:v>
      </x:c>
    </x:row>
    <x:row r="230" ht="24" customHeight="1">
      <x:c r="A230" s="6" t="str">
        <x:v>09173</x:v>
      </x:c>
      <x:c r="B230" s="2" t="str">
        <x:v>Bad Tölz-Wolfratshausen</x:v>
      </x:c>
      <x:c r="C230" s="2" t="n">
        <x:v>155</x:v>
      </x:c>
      <x:c r="D230" s="2" t="str">
        <x:v>Bad Tölz</x:v>
      </x:c>
      <x:c r="E230" s="8" t="n">
        <x:v>2989.734104046243</x:v>
      </x:c>
      <x:c r="F230" s="7" t="n">
        <x:v>25560</x:v>
      </x:c>
      <x:c r="G230" s="8" t="n">
        <x:f>E230*F230</x:f>
        <x:v>76417603.69942197</x:v>
      </x:c>
      <x:c r="H230" s="10" t="n">
        <x:f>F230/SUMIF($C$2:$C$403,C230,$F$2:$F$403)</x:f>
        <x:v>0.5117117117117117</x:v>
      </x:c>
      <x:c r="I230" s="2" t="str">
        <x:v>https://statistik.arbeitsagentur.de/Statistikdaten/Detail/201512/iiia6/beschaeftigung-entgelt-entgelt/entgelt-d-0-201512-xlsm.xlsm?__blob=publicationFile&amp;v=2</x:v>
      </x:c>
      <x:c r="J230" s="2" t="str">
        <x:v>https://statistik.arbeitsagentur.de/Statistikdaten/Detail/201512/iiia6/beschaeftigung-sozbe-svb-kreise-merkmale/svb-kreise-merkmale-d-0-201512-xlsx.xlsx?__blob=publicationFile&amp;v=1</x:v>
      </x:c>
      <x:c r="K230" s="2" t="str">
        <x:v>https://www.bbsr.bund.de/BBSR/DE/forschung/raumbeobachtung/Raumabgrenzungen/deutschland/regionen/arbeitsmarktregionen/arbeitsmarktregionen-2017.csv?__blob=publicationFile&amp;v=2</x:v>
      </x:c>
    </x:row>
    <x:row r="231" ht="24" customHeight="1">
      <x:c r="A231" s="6" t="str">
        <x:v>09174</x:v>
      </x:c>
      <x:c r="B231" s="2" t="str">
        <x:v>Dachau</x:v>
      </x:c>
      <x:c r="C231" s="2" t="n">
        <x:v>159</x:v>
      </x:c>
      <x:c r="D231" s="2" t="str">
        <x:v>München</x:v>
      </x:c>
      <x:c r="E231" s="8" t="n">
        <x:v>2979.7613636363635</x:v>
      </x:c>
      <x:c r="F231" s="7" t="n">
        <x:v>27523</x:v>
      </x:c>
      <x:c r="G231" s="8" t="n">
        <x:f>E231*F231</x:f>
        <x:v>82011972.01136363</x:v>
      </x:c>
      <x:c r="H231" s="10" t="n">
        <x:f>F231/SUMIF($C$2:$C$403,C231,$F$2:$F$403)</x:f>
        <x:v>0.02771894522378695</x:v>
      </x:c>
      <x:c r="I231" s="2" t="str">
        <x:v>https://statistik.arbeitsagentur.de/Statistikdaten/Detail/201512/iiia6/beschaeftigung-entgelt-entgelt/entgelt-d-0-201512-xlsm.xlsm?__blob=publicationFile&amp;v=2</x:v>
      </x:c>
      <x:c r="J231" s="2" t="str">
        <x:v>https://statistik.arbeitsagentur.de/Statistikdaten/Detail/201512/iiia6/beschaeftigung-sozbe-svb-kreise-merkmale/svb-kreise-merkmale-d-0-201512-xlsx.xlsx?__blob=publicationFile&amp;v=1</x:v>
      </x:c>
      <x:c r="K231" s="2" t="str">
        <x:v>https://www.bbsr.bund.de/BBSR/DE/forschung/raumbeobachtung/Raumabgrenzungen/deutschland/regionen/arbeitsmarktregionen/arbeitsmarktregionen-2017.csv?__blob=publicationFile&amp;v=2</x:v>
      </x:c>
    </x:row>
    <x:row r="232" ht="24" customHeight="1">
      <x:c r="A232" s="6" t="str">
        <x:v>09175</x:v>
      </x:c>
      <x:c r="B232" s="2" t="str">
        <x:v>Ebersberg</x:v>
      </x:c>
      <x:c r="C232" s="2" t="n">
        <x:v>159</x:v>
      </x:c>
      <x:c r="D232" s="2" t="str">
        <x:v>München</x:v>
      </x:c>
      <x:c r="E232" s="8" t="n">
        <x:v>3023.639534883721</x:v>
      </x:c>
      <x:c r="F232" s="7" t="n">
        <x:v>28339</x:v>
      </x:c>
      <x:c r="G232" s="8" t="n">
        <x:f>E232*F232</x:f>
        <x:v>85686920.77906977</x:v>
      </x:c>
      <x:c r="H232" s="10" t="n">
        <x:f>F232/SUMIF($C$2:$C$403,C232,$F$2:$F$403)</x:f>
        <x:v>0.028540754594226586</x:v>
      </x:c>
      <x:c r="I232" s="2" t="str">
        <x:v>https://statistik.arbeitsagentur.de/Statistikdaten/Detail/201512/iiia6/beschaeftigung-entgelt-entgelt/entgelt-d-0-201512-xlsm.xlsm?__blob=publicationFile&amp;v=2</x:v>
      </x:c>
      <x:c r="J232" s="2" t="str">
        <x:v>https://statistik.arbeitsagentur.de/Statistikdaten/Detail/201512/iiia6/beschaeftigung-sozbe-svb-kreise-merkmale/svb-kreise-merkmale-d-0-201512-xlsx.xlsx?__blob=publicationFile&amp;v=1</x:v>
      </x:c>
      <x:c r="K232" s="2" t="str">
        <x:v>https://www.bbsr.bund.de/BBSR/DE/forschung/raumbeobachtung/Raumabgrenzungen/deutschland/regionen/arbeitsmarktregionen/arbeitsmarktregionen-2017.csv?__blob=publicationFile&amp;v=2</x:v>
      </x:c>
    </x:row>
    <x:row r="233" ht="24" customHeight="1">
      <x:c r="A233" s="6" t="str">
        <x:v>09176</x:v>
      </x:c>
      <x:c r="B233" s="2" t="str">
        <x:v>Eichstätt</x:v>
      </x:c>
      <x:c r="C233" s="2" t="n">
        <x:v>160</x:v>
      </x:c>
      <x:c r="D233" s="2" t="str">
        <x:v>Ingolstadt</x:v>
      </x:c>
      <x:c r="E233" s="8" t="n">
        <x:v>3103.6382978723404</x:v>
      </x:c>
      <x:c r="F233" s="7" t="n">
        <x:v>28668</x:v>
      </x:c>
      <x:c r="G233" s="8" t="n">
        <x:f>E233*F233</x:f>
        <x:v>88975102.72340426</x:v>
      </x:c>
      <x:c r="H233" s="10" t="n">
        <x:f>F233/SUMIF($C$2:$C$403,C233,$F$2:$F$403)</x:f>
        <x:v>0.1747910226628377</x:v>
      </x:c>
      <x:c r="I233" s="2" t="str">
        <x:v>https://statistik.arbeitsagentur.de/Statistikdaten/Detail/201512/iiia6/beschaeftigung-entgelt-entgelt/entgelt-d-0-201512-xlsm.xlsm?__blob=publicationFile&amp;v=2</x:v>
      </x:c>
      <x:c r="J233" s="2" t="str">
        <x:v>https://statistik.arbeitsagentur.de/Statistikdaten/Detail/201512/iiia6/beschaeftigung-sozbe-svb-kreise-merkmale/svb-kreise-merkmale-d-0-201512-xlsx.xlsx?__blob=publicationFile&amp;v=1</x:v>
      </x:c>
      <x:c r="K233" s="2" t="str">
        <x:v>https://www.bbsr.bund.de/BBSR/DE/forschung/raumbeobachtung/Raumabgrenzungen/deutschland/regionen/arbeitsmarktregionen/arbeitsmarktregionen-2017.csv?__blob=publicationFile&amp;v=2</x:v>
      </x:c>
    </x:row>
    <x:row r="234" ht="24" customHeight="1">
      <x:c r="A234" s="6" t="str">
        <x:v>09177</x:v>
      </x:c>
      <x:c r="B234" s="2" t="str">
        <x:v>Erding</x:v>
      </x:c>
      <x:c r="C234" s="2" t="n">
        <x:v>159</x:v>
      </x:c>
      <x:c r="D234" s="2" t="str">
        <x:v>München</x:v>
      </x:c>
      <x:c r="E234" s="8" t="n">
        <x:v>2883.3893442622953</x:v>
      </x:c>
      <x:c r="F234" s="7" t="n">
        <x:v>28561</x:v>
      </x:c>
      <x:c r="G234" s="8" t="n">
        <x:f>E234*F234</x:f>
        <x:v>82352483.06147541</x:v>
      </x:c>
      <x:c r="H234" s="10" t="n">
        <x:f>F234/SUMIF($C$2:$C$403,C234,$F$2:$F$403)</x:f>
        <x:v>0.028764335084713842</x:v>
      </x:c>
      <x:c r="I234" s="2" t="str">
        <x:v>https://statistik.arbeitsagentur.de/Statistikdaten/Detail/201512/iiia6/beschaeftigung-entgelt-entgelt/entgelt-d-0-201512-xlsm.xlsm?__blob=publicationFile&amp;v=2</x:v>
      </x:c>
      <x:c r="J234" s="2" t="str">
        <x:v>https://statistik.arbeitsagentur.de/Statistikdaten/Detail/201512/iiia6/beschaeftigung-sozbe-svb-kreise-merkmale/svb-kreise-merkmale-d-0-201512-xlsx.xlsx?__blob=publicationFile&amp;v=1</x:v>
      </x:c>
      <x:c r="K234" s="2" t="str">
        <x:v>https://www.bbsr.bund.de/BBSR/DE/forschung/raumbeobachtung/Raumabgrenzungen/deutschland/regionen/arbeitsmarktregionen/arbeitsmarktregionen-2017.csv?__blob=publicationFile&amp;v=2</x:v>
      </x:c>
    </x:row>
    <x:row r="235" ht="24" customHeight="1">
      <x:c r="A235" s="6" t="str">
        <x:v>09178</x:v>
      </x:c>
      <x:c r="B235" s="2" t="str">
        <x:v>Freising</x:v>
      </x:c>
      <x:c r="C235" s="2" t="n">
        <x:v>159</x:v>
      </x:c>
      <x:c r="D235" s="2" t="str">
        <x:v>München</x:v>
      </x:c>
      <x:c r="E235" s="8" t="n">
        <x:v>3276.8473053892217</x:v>
      </x:c>
      <x:c r="F235" s="7" t="n">
        <x:v>56764</x:v>
      </x:c>
      <x:c r="G235" s="8" t="n">
        <x:f>E235*F235</x:f>
        <x:v>186006960.44311377</x:v>
      </x:c>
      <x:c r="H235" s="10" t="n">
        <x:f>F235/SUMIF($C$2:$C$403,C235,$F$2:$F$403)</x:f>
        <x:v>0.05716812145053382</x:v>
      </x:c>
      <x:c r="I235" s="2" t="str">
        <x:v>https://statistik.arbeitsagentur.de/Statistikdaten/Detail/201512/iiia6/beschaeftigung-entgelt-entgelt/entgelt-d-0-201512-xlsm.xlsm?__blob=publicationFile&amp;v=2</x:v>
      </x:c>
      <x:c r="J235" s="2" t="str">
        <x:v>https://statistik.arbeitsagentur.de/Statistikdaten/Detail/201512/iiia6/beschaeftigung-sozbe-svb-kreise-merkmale/svb-kreise-merkmale-d-0-201512-xlsx.xlsx?__blob=publicationFile&amp;v=1</x:v>
      </x:c>
      <x:c r="K235" s="2" t="str">
        <x:v>https://www.bbsr.bund.de/BBSR/DE/forschung/raumbeobachtung/Raumabgrenzungen/deutschland/regionen/arbeitsmarktregionen/arbeitsmarktregionen-2017.csv?__blob=publicationFile&amp;v=2</x:v>
      </x:c>
    </x:row>
    <x:row r="236" ht="24" customHeight="1">
      <x:c r="A236" s="6" t="str">
        <x:v>09179</x:v>
      </x:c>
      <x:c r="B236" s="2" t="str">
        <x:v>Fürstenfeldbruck</x:v>
      </x:c>
      <x:c r="C236" s="2" t="n">
        <x:v>159</x:v>
      </x:c>
      <x:c r="D236" s="2" t="str">
        <x:v>München</x:v>
      </x:c>
      <x:c r="E236" s="8" t="n">
        <x:v>3088.7075471698113</x:v>
      </x:c>
      <x:c r="F236" s="7" t="n">
        <x:v>33627</x:v>
      </x:c>
      <x:c r="G236" s="8" t="n">
        <x:f>E236*F236</x:f>
        <x:v>103863968.68867925</x:v>
      </x:c>
      <x:c r="H236" s="10" t="n">
        <x:f>F236/SUMIF($C$2:$C$403,C236,$F$2:$F$403)</x:f>
        <x:v>0.033866401592859925</x:v>
      </x:c>
      <x:c r="I236" s="2" t="str">
        <x:v>https://statistik.arbeitsagentur.de/Statistikdaten/Detail/201512/iiia6/beschaeftigung-entgelt-entgelt/entgelt-d-0-201512-xlsm.xlsm?__blob=publicationFile&amp;v=2</x:v>
      </x:c>
      <x:c r="J236" s="2" t="str">
        <x:v>https://statistik.arbeitsagentur.de/Statistikdaten/Detail/201512/iiia6/beschaeftigung-sozbe-svb-kreise-merkmale/svb-kreise-merkmale-d-0-201512-xlsx.xlsx?__blob=publicationFile&amp;v=1</x:v>
      </x:c>
      <x:c r="K236" s="2" t="str">
        <x:v>https://www.bbsr.bund.de/BBSR/DE/forschung/raumbeobachtung/Raumabgrenzungen/deutschland/regionen/arbeitsmarktregionen/arbeitsmarktregionen-2017.csv?__blob=publicationFile&amp;v=2</x:v>
      </x:c>
    </x:row>
    <x:row r="237" ht="24" customHeight="1">
      <x:c r="A237" s="6" t="str">
        <x:v>09180</x:v>
      </x:c>
      <x:c r="B237" s="2" t="str">
        <x:v>Garmisch-Partenkirchen</x:v>
      </x:c>
      <x:c r="C237" s="2" t="n">
        <x:v>156</x:v>
      </x:c>
      <x:c r="D237" s="2" t="str">
        <x:v>Garmisch-Partenkirchen</x:v>
      </x:c>
      <x:c r="E237" s="8" t="n">
        <x:v>2726.9437689969604</x:v>
      </x:c>
      <x:c r="F237" s="7" t="n">
        <x:v>18744</x:v>
      </x:c>
      <x:c r="G237" s="8" t="n">
        <x:f>E237*F237</x:f>
        <x:v>51113834.006079026</x:v>
      </x:c>
      <x:c r="H237" s="10" t="n">
        <x:f>F237/SUMIF($C$2:$C$403,C237,$F$2:$F$403)</x:f>
        <x:v>1</x:v>
      </x:c>
      <x:c r="I237" s="2" t="str">
        <x:v>https://statistik.arbeitsagentur.de/Statistikdaten/Detail/201512/iiia6/beschaeftigung-entgelt-entgelt/entgelt-d-0-201512-xlsm.xlsm?__blob=publicationFile&amp;v=2</x:v>
      </x:c>
      <x:c r="J237" s="2" t="str">
        <x:v>https://statistik.arbeitsagentur.de/Statistikdaten/Detail/201512/iiia6/beschaeftigung-sozbe-svb-kreise-merkmale/svb-kreise-merkmale-d-0-201512-xlsx.xlsx?__blob=publicationFile&amp;v=1</x:v>
      </x:c>
      <x:c r="K237" s="2" t="str">
        <x:v>https://www.bbsr.bund.de/BBSR/DE/forschung/raumbeobachtung/Raumabgrenzungen/deutschland/regionen/arbeitsmarktregionen/arbeitsmarktregionen-2017.csv?__blob=publicationFile&amp;v=2</x:v>
      </x:c>
    </x:row>
    <x:row r="238" ht="24" customHeight="1">
      <x:c r="A238" s="6" t="str">
        <x:v>09181</x:v>
      </x:c>
      <x:c r="B238" s="2" t="str">
        <x:v>Landsberg am Lech</x:v>
      </x:c>
      <x:c r="C238" s="2" t="n">
        <x:v>158</x:v>
      </x:c>
      <x:c r="D238" s="2" t="str">
        <x:v>Landsberg</x:v>
      </x:c>
      <x:c r="E238" s="8" t="n">
        <x:v>3140.0320197044334</x:v>
      </x:c>
      <x:c r="F238" s="7" t="n">
        <x:v>25364</x:v>
      </x:c>
      <x:c r="G238" s="8" t="n">
        <x:f>E238*F238</x:f>
        <x:v>79643772.14778325</x:v>
      </x:c>
      <x:c r="H238" s="10" t="n">
        <x:f>F238/SUMIF($C$2:$C$403,C238,$F$2:$F$403)</x:f>
        <x:v>1</x:v>
      </x:c>
      <x:c r="I238" s="2" t="str">
        <x:v>https://statistik.arbeitsagentur.de/Statistikdaten/Detail/201512/iiia6/beschaeftigung-entgelt-entgelt/entgelt-d-0-201512-xlsm.xlsm?__blob=publicationFile&amp;v=2</x:v>
      </x:c>
      <x:c r="J238" s="2" t="str">
        <x:v>https://statistik.arbeitsagentur.de/Statistikdaten/Detail/201512/iiia6/beschaeftigung-sozbe-svb-kreise-merkmale/svb-kreise-merkmale-d-0-201512-xlsx.xlsx?__blob=publicationFile&amp;v=1</x:v>
      </x:c>
      <x:c r="K238" s="2" t="str">
        <x:v>https://www.bbsr.bund.de/BBSR/DE/forschung/raumbeobachtung/Raumabgrenzungen/deutschland/regionen/arbeitsmarktregionen/arbeitsmarktregionen-2017.csv?__blob=publicationFile&amp;v=2</x:v>
      </x:c>
    </x:row>
    <x:row r="239" ht="24" customHeight="1">
      <x:c r="A239" s="6" t="str">
        <x:v>09182</x:v>
      </x:c>
      <x:c r="B239" s="2" t="str">
        <x:v>Miesbach</x:v>
      </x:c>
      <x:c r="C239" s="2" t="n">
        <x:v>155</x:v>
      </x:c>
      <x:c r="D239" s="2" t="str">
        <x:v>Bad Tölz</x:v>
      </x:c>
      <x:c r="E239" s="8" t="n">
        <x:v>2947.5223325062034</x:v>
      </x:c>
      <x:c r="F239" s="7" t="n">
        <x:v>24390</x:v>
      </x:c>
      <x:c r="G239" s="8" t="n">
        <x:f>E239*F239</x:f>
        <x:v>71890069.6898263</x:v>
      </x:c>
      <x:c r="H239" s="10" t="n">
        <x:f>F239/SUMIF($C$2:$C$403,C239,$F$2:$F$403)</x:f>
        <x:v>0.4882882882882883</x:v>
      </x:c>
      <x:c r="I239" s="2" t="str">
        <x:v>https://statistik.arbeitsagentur.de/Statistikdaten/Detail/201512/iiia6/beschaeftigung-entgelt-entgelt/entgelt-d-0-201512-xlsm.xlsm?__blob=publicationFile&amp;v=2</x:v>
      </x:c>
      <x:c r="J239" s="2" t="str">
        <x:v>https://statistik.arbeitsagentur.de/Statistikdaten/Detail/201512/iiia6/beschaeftigung-sozbe-svb-kreise-merkmale/svb-kreise-merkmale-d-0-201512-xlsx.xlsx?__blob=publicationFile&amp;v=1</x:v>
      </x:c>
      <x:c r="K239" s="2" t="str">
        <x:v>https://www.bbsr.bund.de/BBSR/DE/forschung/raumbeobachtung/Raumabgrenzungen/deutschland/regionen/arbeitsmarktregionen/arbeitsmarktregionen-2017.csv?__blob=publicationFile&amp;v=2</x:v>
      </x:c>
    </x:row>
    <x:row r="240" ht="24" customHeight="1">
      <x:c r="A240" s="6" t="str">
        <x:v>09183</x:v>
      </x:c>
      <x:c r="B240" s="2" t="str">
        <x:v>Mühldorf a.Inn</x:v>
      </x:c>
      <x:c r="C240" s="2" t="n">
        <x:v>153</x:v>
      </x:c>
      <x:c r="D240" s="2" t="str">
        <x:v>Mühldorf</x:v>
      </x:c>
      <x:c r="E240" s="8" t="n">
        <x:v>2988.1744186046512</x:v>
      </x:c>
      <x:c r="F240" s="7" t="n">
        <x:v>27460</x:v>
      </x:c>
      <x:c r="G240" s="8" t="n">
        <x:f>E240*F240</x:f>
        <x:v>82055269.53488372</x:v>
      </x:c>
      <x:c r="H240" s="10" t="n">
        <x:f>F240/SUMIF($C$2:$C$403,C240,$F$2:$F$403)</x:f>
        <x:v>1</x:v>
      </x:c>
      <x:c r="I240" s="2" t="str">
        <x:v>https://statistik.arbeitsagentur.de/Statistikdaten/Detail/201512/iiia6/beschaeftigung-entgelt-entgelt/entgelt-d-0-201512-xlsm.xlsm?__blob=publicationFile&amp;v=2</x:v>
      </x:c>
      <x:c r="J240" s="2" t="str">
        <x:v>https://statistik.arbeitsagentur.de/Statistikdaten/Detail/201512/iiia6/beschaeftigung-sozbe-svb-kreise-merkmale/svb-kreise-merkmale-d-0-201512-xlsx.xlsx?__blob=publicationFile&amp;v=1</x:v>
      </x:c>
      <x:c r="K240" s="2" t="str">
        <x:v>https://www.bbsr.bund.de/BBSR/DE/forschung/raumbeobachtung/Raumabgrenzungen/deutschland/regionen/arbeitsmarktregionen/arbeitsmarktregionen-2017.csv?__blob=publicationFile&amp;v=2</x:v>
      </x:c>
    </x:row>
    <x:row r="241" ht="24" customHeight="1">
      <x:c r="A241" s="6" t="str">
        <x:v>09184</x:v>
      </x:c>
      <x:c r="B241" s="2" t="str">
        <x:v>München</x:v>
      </x:c>
      <x:c r="C241" s="2" t="n">
        <x:v>159</x:v>
      </x:c>
      <x:c r="D241" s="2" t="str">
        <x:v>München</x:v>
      </x:c>
      <x:c r="E241" s="8" t="n">
        <x:v>4078.1041666666665</x:v>
      </x:c>
      <x:c r="F241" s="7" t="n">
        <x:v>171179</x:v>
      </x:c>
      <x:c r="G241" s="8" t="n">
        <x:f>E241*F241</x:f>
        <x:v>698085793.1458333</x:v>
      </x:c>
      <x:c r="H241" s="10" t="n">
        <x:f>F241/SUMIF($C$2:$C$403,C241,$F$2:$F$403)</x:f>
        <x:v>0.17239767919422397</x:v>
      </x:c>
      <x:c r="I241" s="2" t="str">
        <x:v>https://statistik.arbeitsagentur.de/Statistikdaten/Detail/201512/iiia6/beschaeftigung-entgelt-entgelt/entgelt-d-0-201512-xlsm.xlsm?__blob=publicationFile&amp;v=2</x:v>
      </x:c>
      <x:c r="J241" s="2" t="str">
        <x:v>https://statistik.arbeitsagentur.de/Statistikdaten/Detail/201512/iiia6/beschaeftigung-sozbe-svb-kreise-merkmale/svb-kreise-merkmale-d-0-201512-xlsx.xlsx?__blob=publicationFile&amp;v=1</x:v>
      </x:c>
      <x:c r="K241" s="2" t="str">
        <x:v>https://www.bbsr.bund.de/BBSR/DE/forschung/raumbeobachtung/Raumabgrenzungen/deutschland/regionen/arbeitsmarktregionen/arbeitsmarktregionen-2017.csv?__blob=publicationFile&amp;v=2</x:v>
      </x:c>
    </x:row>
    <x:row r="242" ht="24" customHeight="1">
      <x:c r="A242" s="6" t="str">
        <x:v>09185</x:v>
      </x:c>
      <x:c r="B242" s="2" t="str">
        <x:v>Neuburg-Schrobenhausen</x:v>
      </x:c>
      <x:c r="C242" s="2" t="n">
        <x:v>160</x:v>
      </x:c>
      <x:c r="D242" s="2" t="str">
        <x:v>Ingolstadt</x:v>
      </x:c>
      <x:c r="E242" s="8" t="n">
        <x:v>3039.8631436314363</x:v>
      </x:c>
      <x:c r="F242" s="7" t="n">
        <x:v>23269</x:v>
      </x:c>
      <x:c r="G242" s="8" t="n">
        <x:f>E242*F242</x:f>
        <x:v>70734575.4891599</x:v>
      </x:c>
      <x:c r="H242" s="10" t="n">
        <x:f>F242/SUMIF($C$2:$C$403,C242,$F$2:$F$403)</x:f>
        <x:v>0.14187290031887717</x:v>
      </x:c>
      <x:c r="I242" s="2" t="str">
        <x:v>https://statistik.arbeitsagentur.de/Statistikdaten/Detail/201512/iiia6/beschaeftigung-entgelt-entgelt/entgelt-d-0-201512-xlsm.xlsm?__blob=publicationFile&amp;v=2</x:v>
      </x:c>
      <x:c r="J242" s="2" t="str">
        <x:v>https://statistik.arbeitsagentur.de/Statistikdaten/Detail/201512/iiia6/beschaeftigung-sozbe-svb-kreise-merkmale/svb-kreise-merkmale-d-0-201512-xlsx.xlsx?__blob=publicationFile&amp;v=1</x:v>
      </x:c>
      <x:c r="K242" s="2" t="str">
        <x:v>https://www.bbsr.bund.de/BBSR/DE/forschung/raumbeobachtung/Raumabgrenzungen/deutschland/regionen/arbeitsmarktregionen/arbeitsmarktregionen-2017.csv?__blob=publicationFile&amp;v=2</x:v>
      </x:c>
    </x:row>
    <x:row r="243" ht="24" customHeight="1">
      <x:c r="A243" s="6" t="str">
        <x:v>09186</x:v>
      </x:c>
      <x:c r="B243" s="2" t="str">
        <x:v>Pfaffenhofen a.d.Ilm</x:v>
      </x:c>
      <x:c r="C243" s="2" t="n">
        <x:v>160</x:v>
      </x:c>
      <x:c r="D243" s="2" t="str">
        <x:v>Ingolstadt</x:v>
      </x:c>
      <x:c r="E243" s="8" t="n">
        <x:v>3180.8896103896104</x:v>
      </x:c>
      <x:c r="F243" s="7" t="n">
        <x:v>27820</x:v>
      </x:c>
      <x:c r="G243" s="8" t="n">
        <x:f>E243*F243</x:f>
        <x:v>88492348.96103896</x:v>
      </x:c>
      <x:c r="H243" s="10" t="n">
        <x:f>F243/SUMIF($C$2:$C$403,C243,$F$2:$F$403)</x:f>
        <x:v>0.16962070079810745</x:v>
      </x:c>
      <x:c r="I243" s="2" t="str">
        <x:v>https://statistik.arbeitsagentur.de/Statistikdaten/Detail/201512/iiia6/beschaeftigung-entgelt-entgelt/entgelt-d-0-201512-xlsm.xlsm?__blob=publicationFile&amp;v=2</x:v>
      </x:c>
      <x:c r="J243" s="2" t="str">
        <x:v>https://statistik.arbeitsagentur.de/Statistikdaten/Detail/201512/iiia6/beschaeftigung-sozbe-svb-kreise-merkmale/svb-kreise-merkmale-d-0-201512-xlsx.xlsx?__blob=publicationFile&amp;v=1</x:v>
      </x:c>
      <x:c r="K243" s="2" t="str">
        <x:v>https://www.bbsr.bund.de/BBSR/DE/forschung/raumbeobachtung/Raumabgrenzungen/deutschland/regionen/arbeitsmarktregionen/arbeitsmarktregionen-2017.csv?__blob=publicationFile&amp;v=2</x:v>
      </x:c>
    </x:row>
    <x:row r="244" ht="24" customHeight="1">
      <x:c r="A244" s="6" t="str">
        <x:v>09187</x:v>
      </x:c>
      <x:c r="B244" s="2" t="str">
        <x:v>Rosenheim</x:v>
      </x:c>
      <x:c r="C244" s="2" t="n">
        <x:v>154</x:v>
      </x:c>
      <x:c r="D244" s="2" t="str">
        <x:v>Rosenheim</x:v>
      </x:c>
      <x:c r="E244" s="8" t="n">
        <x:v>2872.2041800643087</x:v>
      </x:c>
      <x:c r="F244" s="7" t="n">
        <x:v>56258</x:v>
      </x:c>
      <x:c r="G244" s="8" t="n">
        <x:f>E244*F244</x:f>
        <x:v>161584462.76205787</x:v>
      </x:c>
      <x:c r="H244" s="10" t="n">
        <x:f>F244/SUMIF($C$2:$C$403,C244,$F$2:$F$403)</x:f>
        <x:v>0.6982239708090799</x:v>
      </x:c>
      <x:c r="I244" s="2" t="str">
        <x:v>https://statistik.arbeitsagentur.de/Statistikdaten/Detail/201512/iiia6/beschaeftigung-entgelt-entgelt/entgelt-d-0-201512-xlsm.xlsm?__blob=publicationFile&amp;v=2</x:v>
      </x:c>
      <x:c r="J244" s="2" t="str">
        <x:v>https://statistik.arbeitsagentur.de/Statistikdaten/Detail/201512/iiia6/beschaeftigung-sozbe-svb-kreise-merkmale/svb-kreise-merkmale-d-0-201512-xlsx.xlsx?__blob=publicationFile&amp;v=1</x:v>
      </x:c>
      <x:c r="K244" s="2" t="str">
        <x:v>https://www.bbsr.bund.de/BBSR/DE/forschung/raumbeobachtung/Raumabgrenzungen/deutschland/regionen/arbeitsmarktregionen/arbeitsmarktregionen-2017.csv?__blob=publicationFile&amp;v=2</x:v>
      </x:c>
    </x:row>
    <x:row r="245" ht="24" customHeight="1">
      <x:c r="A245" s="6" t="str">
        <x:v>09188</x:v>
      </x:c>
      <x:c r="B245" s="2" t="str">
        <x:v>Starnberg</x:v>
      </x:c>
      <x:c r="C245" s="2" t="n">
        <x:v>159</x:v>
      </x:c>
      <x:c r="D245" s="2" t="str">
        <x:v>München</x:v>
      </x:c>
      <x:c r="E245" s="8" t="n">
        <x:v>3490.3255813953488</x:v>
      </x:c>
      <x:c r="F245" s="7" t="n">
        <x:v>34747</x:v>
      </x:c>
      <x:c r="G245" s="8" t="n">
        <x:f>E245*F245</x:f>
        <x:v>121278342.97674419</x:v>
      </x:c>
      <x:c r="H245" s="10" t="n">
        <x:f>F245/SUMIF($C$2:$C$403,C245,$F$2:$F$403)</x:f>
        <x:v>0.03499437523856139</x:v>
      </x:c>
      <x:c r="I245" s="2" t="str">
        <x:v>https://statistik.arbeitsagentur.de/Statistikdaten/Detail/201512/iiia6/beschaeftigung-entgelt-entgelt/entgelt-d-0-201512-xlsm.xlsm?__blob=publicationFile&amp;v=2</x:v>
      </x:c>
      <x:c r="J245" s="2" t="str">
        <x:v>https://statistik.arbeitsagentur.de/Statistikdaten/Detail/201512/iiia6/beschaeftigung-sozbe-svb-kreise-merkmale/svb-kreise-merkmale-d-0-201512-xlsx.xlsx?__blob=publicationFile&amp;v=1</x:v>
      </x:c>
      <x:c r="K245" s="2" t="str">
        <x:v>https://www.bbsr.bund.de/BBSR/DE/forschung/raumbeobachtung/Raumabgrenzungen/deutschland/regionen/arbeitsmarktregionen/arbeitsmarktregionen-2017.csv?__blob=publicationFile&amp;v=2</x:v>
      </x:c>
    </x:row>
    <x:row r="246" ht="24" customHeight="1">
      <x:c r="A246" s="6" t="str">
        <x:v>09189</x:v>
      </x:c>
      <x:c r="B246" s="2" t="str">
        <x:v>Traunstein</x:v>
      </x:c>
      <x:c r="C246" s="2" t="n">
        <x:v>151</x:v>
      </x:c>
      <x:c r="D246" s="2" t="str">
        <x:v>Traunstein</x:v>
      </x:c>
      <x:c r="E246" s="8" t="n">
        <x:v>3100.563211125158</x:v>
      </x:c>
      <x:c r="F246" s="7" t="n">
        <x:v>47336</x:v>
      </x:c>
      <x:c r="G246" s="8" t="n">
        <x:f>E246*F246</x:f>
        <x:v>146768260.16182047</x:v>
      </x:c>
      <x:c r="H246" s="10" t="n">
        <x:f>F246/SUMIF($C$2:$C$403,C246,$F$2:$F$403)</x:f>
        <x:v>1</x:v>
      </x:c>
      <x:c r="I246" s="2" t="str">
        <x:v>https://statistik.arbeitsagentur.de/Statistikdaten/Detail/201512/iiia6/beschaeftigung-entgelt-entgelt/entgelt-d-0-201512-xlsm.xlsm?__blob=publicationFile&amp;v=2</x:v>
      </x:c>
      <x:c r="J246" s="2" t="str">
        <x:v>https://statistik.arbeitsagentur.de/Statistikdaten/Detail/201512/iiia6/beschaeftigung-sozbe-svb-kreise-merkmale/svb-kreise-merkmale-d-0-201512-xlsx.xlsx?__blob=publicationFile&amp;v=1</x:v>
      </x:c>
      <x:c r="K246" s="2" t="str">
        <x:v>https://www.bbsr.bund.de/BBSR/DE/forschung/raumbeobachtung/Raumabgrenzungen/deutschland/regionen/arbeitsmarktregionen/arbeitsmarktregionen-2017.csv?__blob=publicationFile&amp;v=2</x:v>
      </x:c>
    </x:row>
    <x:row r="247" ht="24" customHeight="1">
      <x:c r="A247" s="6" t="str">
        <x:v>09190</x:v>
      </x:c>
      <x:c r="B247" s="2" t="str">
        <x:v>Weilheim-Schongau</x:v>
      </x:c>
      <x:c r="C247" s="2" t="n">
        <x:v>157</x:v>
      </x:c>
      <x:c r="D247" s="2" t="str">
        <x:v>Weilheim</x:v>
      </x:c>
      <x:c r="E247" s="8" t="n">
        <x:v>3380.427385892116</x:v>
      </x:c>
      <x:c r="F247" s="7" t="n">
        <x:v>32781</x:v>
      </x:c>
      <x:c r="G247" s="8" t="n">
        <x:f>E247*F247</x:f>
        <x:v>110813790.13692945</x:v>
      </x:c>
      <x:c r="H247" s="10" t="n">
        <x:f>F247/SUMIF($C$2:$C$403,C247,$F$2:$F$403)</x:f>
        <x:v>1</x:v>
      </x:c>
      <x:c r="I247" s="2" t="str">
        <x:v>https://statistik.arbeitsagentur.de/Statistikdaten/Detail/201512/iiia6/beschaeftigung-entgelt-entgelt/entgelt-d-0-201512-xlsm.xlsm?__blob=publicationFile&amp;v=2</x:v>
      </x:c>
      <x:c r="J247" s="2" t="str">
        <x:v>https://statistik.arbeitsagentur.de/Statistikdaten/Detail/201512/iiia6/beschaeftigung-sozbe-svb-kreise-merkmale/svb-kreise-merkmale-d-0-201512-xlsx.xlsx?__blob=publicationFile&amp;v=1</x:v>
      </x:c>
      <x:c r="K247" s="2" t="str">
        <x:v>https://www.bbsr.bund.de/BBSR/DE/forschung/raumbeobachtung/Raumabgrenzungen/deutschland/regionen/arbeitsmarktregionen/arbeitsmarktregionen-2017.csv?__blob=publicationFile&amp;v=2</x:v>
      </x:c>
    </x:row>
    <x:row r="248" ht="24" customHeight="1">
      <x:c r="A248" s="6" t="str">
        <x:v>09261</x:v>
      </x:c>
      <x:c r="B248" s="2" t="str">
        <x:v>Landshut, Stadt</x:v>
      </x:c>
      <x:c r="C248" s="2" t="n">
        <x:v>162</x:v>
      </x:c>
      <x:c r="D248" s="2" t="str">
        <x:v>Landshut</x:v>
      </x:c>
      <x:c r="E248" s="8" t="n">
        <x:v>3043.4723502304146</x:v>
      </x:c>
      <x:c r="F248" s="7" t="n">
        <x:v>24752</x:v>
      </x:c>
      <x:c r="G248" s="8" t="n">
        <x:f>E248*F248</x:f>
        <x:v>75332027.61290322</x:v>
      </x:c>
      <x:c r="H248" s="10" t="n">
        <x:f>F248/SUMIF($C$2:$C$403,C248,$F$2:$F$403)</x:f>
        <x:v>0.4146966676160638</x:v>
      </x:c>
      <x:c r="I248" s="2" t="str">
        <x:v>https://statistik.arbeitsagentur.de/Statistikdaten/Detail/201512/iiia6/beschaeftigung-entgelt-entgelt/entgelt-d-0-201512-xlsm.xlsm?__blob=publicationFile&amp;v=2</x:v>
      </x:c>
      <x:c r="J248" s="2" t="str">
        <x:v>https://statistik.arbeitsagentur.de/Statistikdaten/Detail/201512/iiia6/beschaeftigung-sozbe-svb-kreise-merkmale/svb-kreise-merkmale-d-0-201512-xlsx.xlsx?__blob=publicationFile&amp;v=1</x:v>
      </x:c>
      <x:c r="K248" s="2" t="str">
        <x:v>https://www.bbsr.bund.de/BBSR/DE/forschung/raumbeobachtung/Raumabgrenzungen/deutschland/regionen/arbeitsmarktregionen/arbeitsmarktregionen-2017.csv?__blob=publicationFile&amp;v=2</x:v>
      </x:c>
    </x:row>
    <x:row r="249" ht="24" customHeight="1">
      <x:c r="A249" s="6" t="str">
        <x:v>09262</x:v>
      </x:c>
      <x:c r="B249" s="2" t="str">
        <x:v>Passau, Stadt</x:v>
      </x:c>
      <x:c r="C249" s="2" t="n">
        <x:v>165</x:v>
      </x:c>
      <x:c r="D249" s="2" t="str">
        <x:v>Passau</x:v>
      </x:c>
      <x:c r="E249" s="8" t="n">
        <x:v>3189.9285714285716</x:v>
      </x:c>
      <x:c r="F249" s="7" t="n">
        <x:v>25906</x:v>
      </x:c>
      <x:c r="G249" s="8" t="n">
        <x:f>E249*F249</x:f>
        <x:v>82638289.57142858</x:v>
      </x:c>
      <x:c r="H249" s="10" t="n">
        <x:f>F249/SUMIF($C$2:$C$403,C249,$F$2:$F$403)</x:f>
        <x:v>0.3876576832717315</x:v>
      </x:c>
      <x:c r="I249" s="2" t="str">
        <x:v>https://statistik.arbeitsagentur.de/Statistikdaten/Detail/201512/iiia6/beschaeftigung-entgelt-entgelt/entgelt-d-0-201512-xlsm.xlsm?__blob=publicationFile&amp;v=2</x:v>
      </x:c>
      <x:c r="J249" s="2" t="str">
        <x:v>https://statistik.arbeitsagentur.de/Statistikdaten/Detail/201512/iiia6/beschaeftigung-sozbe-svb-kreise-merkmale/svb-kreise-merkmale-d-0-201512-xlsx.xlsx?__blob=publicationFile&amp;v=1</x:v>
      </x:c>
      <x:c r="K249" s="2" t="str">
        <x:v>https://www.bbsr.bund.de/BBSR/DE/forschung/raumbeobachtung/Raumabgrenzungen/deutschland/regionen/arbeitsmarktregionen/arbeitsmarktregionen-2017.csv?__blob=publicationFile&amp;v=2</x:v>
      </x:c>
    </x:row>
    <x:row r="250" ht="24" customHeight="1">
      <x:c r="A250" s="6" t="str">
        <x:v>09263</x:v>
      </x:c>
      <x:c r="B250" s="2" t="str">
        <x:v>Straubing, Stadt</x:v>
      </x:c>
      <x:c r="C250" s="2" t="n">
        <x:v>169</x:v>
      </x:c>
      <x:c r="D250" s="2" t="str">
        <x:v>Straubing</x:v>
      </x:c>
      <x:c r="E250" s="8" t="n">
        <x:v>2902.3518518518517</x:v>
      </x:c>
      <x:c r="F250" s="7" t="n">
        <x:v>20200</x:v>
      </x:c>
      <x:c r="G250" s="8" t="n">
        <x:f>E250*F250</x:f>
        <x:v>58627507.4074074</x:v>
      </x:c>
      <x:c r="H250" s="10" t="n">
        <x:f>F250/SUMIF($C$2:$C$403,C250,$F$2:$F$403)</x:f>
        <x:v>0.5437855008479824</x:v>
      </x:c>
      <x:c r="I250" s="2" t="str">
        <x:v>https://statistik.arbeitsagentur.de/Statistikdaten/Detail/201512/iiia6/beschaeftigung-entgelt-entgelt/entgelt-d-0-201512-xlsm.xlsm?__blob=publicationFile&amp;v=2</x:v>
      </x:c>
      <x:c r="J250" s="2" t="str">
        <x:v>https://statistik.arbeitsagentur.de/Statistikdaten/Detail/201512/iiia6/beschaeftigung-sozbe-svb-kreise-merkmale/svb-kreise-merkmale-d-0-201512-xlsx.xlsx?__blob=publicationFile&amp;v=1</x:v>
      </x:c>
      <x:c r="K250" s="2" t="str">
        <x:v>https://www.bbsr.bund.de/BBSR/DE/forschung/raumbeobachtung/Raumabgrenzungen/deutschland/regionen/arbeitsmarktregionen/arbeitsmarktregionen-2017.csv?__blob=publicationFile&amp;v=2</x:v>
      </x:c>
    </x:row>
    <x:row r="251" ht="24" customHeight="1">
      <x:c r="A251" s="6" t="str">
        <x:v>09271</x:v>
      </x:c>
      <x:c r="B251" s="2" t="str">
        <x:v>Deggendorf</x:v>
      </x:c>
      <x:c r="C251" s="2" t="n">
        <x:v>168</x:v>
      </x:c>
      <x:c r="D251" s="2" t="str">
        <x:v>Deggendorf</x:v>
      </x:c>
      <x:c r="E251" s="8" t="n">
        <x:v>2925.580906148867</x:v>
      </x:c>
      <x:c r="F251" s="7" t="n">
        <x:v>35299</x:v>
      </x:c>
      <x:c r="G251" s="8" t="n">
        <x:f>E251*F251</x:f>
        <x:v>103270080.40614887</x:v>
      </x:c>
      <x:c r="H251" s="10" t="n">
        <x:f>F251/SUMIF($C$2:$C$403,C251,$F$2:$F$403)</x:f>
        <x:v>1</x:v>
      </x:c>
      <x:c r="I251" s="2" t="str">
        <x:v>https://statistik.arbeitsagentur.de/Statistikdaten/Detail/201512/iiia6/beschaeftigung-entgelt-entgelt/entgelt-d-0-201512-xlsm.xlsm?__blob=publicationFile&amp;v=2</x:v>
      </x:c>
      <x:c r="J251" s="2" t="str">
        <x:v>https://statistik.arbeitsagentur.de/Statistikdaten/Detail/201512/iiia6/beschaeftigung-sozbe-svb-kreise-merkmale/svb-kreise-merkmale-d-0-201512-xlsx.xlsx?__blob=publicationFile&amp;v=1</x:v>
      </x:c>
      <x:c r="K251" s="2" t="str">
        <x:v>https://www.bbsr.bund.de/BBSR/DE/forschung/raumbeobachtung/Raumabgrenzungen/deutschland/regionen/arbeitsmarktregionen/arbeitsmarktregionen-2017.csv?__blob=publicationFile&amp;v=2</x:v>
      </x:c>
    </x:row>
    <x:row r="252" ht="24" customHeight="1">
      <x:c r="A252" s="6" t="str">
        <x:v>09272</x:v>
      </x:c>
      <x:c r="B252" s="2" t="str">
        <x:v>Freyung-Grafenau</x:v>
      </x:c>
      <x:c r="C252" s="2" t="n">
        <x:v>166</x:v>
      </x:c>
      <x:c r="D252" s="2" t="str">
        <x:v>Freyung</x:v>
      </x:c>
      <x:c r="E252" s="8" t="n">
        <x:v>2643.8753943217666</x:v>
      </x:c>
      <x:c r="F252" s="7" t="n">
        <x:v>15718</x:v>
      </x:c>
      <x:c r="G252" s="8" t="n">
        <x:f>E252*F252</x:f>
        <x:v>41556433.44794953</x:v>
      </x:c>
      <x:c r="H252" s="10" t="n">
        <x:f>F252/SUMIF($C$2:$C$403,C252,$F$2:$F$403)</x:f>
        <x:v>1</x:v>
      </x:c>
      <x:c r="I252" s="2" t="str">
        <x:v>https://statistik.arbeitsagentur.de/Statistikdaten/Detail/201512/iiia6/beschaeftigung-entgelt-entgelt/entgelt-d-0-201512-xlsm.xlsm?__blob=publicationFile&amp;v=2</x:v>
      </x:c>
      <x:c r="J252" s="2" t="str">
        <x:v>https://statistik.arbeitsagentur.de/Statistikdaten/Detail/201512/iiia6/beschaeftigung-sozbe-svb-kreise-merkmale/svb-kreise-merkmale-d-0-201512-xlsx.xlsx?__blob=publicationFile&amp;v=1</x:v>
      </x:c>
      <x:c r="K252" s="2" t="str">
        <x:v>https://www.bbsr.bund.de/BBSR/DE/forschung/raumbeobachtung/Raumabgrenzungen/deutschland/regionen/arbeitsmarktregionen/arbeitsmarktregionen-2017.csv?__blob=publicationFile&amp;v=2</x:v>
      </x:c>
    </x:row>
    <x:row r="253" ht="24" customHeight="1">
      <x:c r="A253" s="6" t="str">
        <x:v>09273</x:v>
      </x:c>
      <x:c r="B253" s="2" t="str">
        <x:v>Kelheim</x:v>
      </x:c>
      <x:c r="C253" s="2" t="n">
        <x:v>161</x:v>
      </x:c>
      <x:c r="D253" s="2" t="str">
        <x:v>Kelheim-Mainburg</x:v>
      </x:c>
      <x:c r="E253" s="8" t="n">
        <x:v>2988.7136279926335</x:v>
      </x:c>
      <x:c r="F253" s="7" t="n">
        <x:v>27258</x:v>
      </x:c>
      <x:c r="G253" s="8" t="n">
        <x:f>E253*F253</x:f>
        <x:v>81466356.07182321</x:v>
      </x:c>
      <x:c r="H253" s="10" t="n">
        <x:f>F253/SUMIF($C$2:$C$403,C253,$F$2:$F$403)</x:f>
        <x:v>1</x:v>
      </x:c>
      <x:c r="I253" s="2" t="str">
        <x:v>https://statistik.arbeitsagentur.de/Statistikdaten/Detail/201512/iiia6/beschaeftigung-entgelt-entgelt/entgelt-d-0-201512-xlsm.xlsm?__blob=publicationFile&amp;v=2</x:v>
      </x:c>
      <x:c r="J253" s="2" t="str">
        <x:v>https://statistik.arbeitsagentur.de/Statistikdaten/Detail/201512/iiia6/beschaeftigung-sozbe-svb-kreise-merkmale/svb-kreise-merkmale-d-0-201512-xlsx.xlsx?__blob=publicationFile&amp;v=1</x:v>
      </x:c>
      <x:c r="K253" s="2" t="str">
        <x:v>https://www.bbsr.bund.de/BBSR/DE/forschung/raumbeobachtung/Raumabgrenzungen/deutschland/regionen/arbeitsmarktregionen/arbeitsmarktregionen-2017.csv?__blob=publicationFile&amp;v=2</x:v>
      </x:c>
    </x:row>
    <x:row r="254" ht="24" customHeight="1">
      <x:c r="A254" s="6" t="str">
        <x:v>09274</x:v>
      </x:c>
      <x:c r="B254" s="2" t="str">
        <x:v>Landshut</x:v>
      </x:c>
      <x:c r="C254" s="2" t="n">
        <x:v>162</x:v>
      </x:c>
      <x:c r="D254" s="2" t="str">
        <x:v>Landshut</x:v>
      </x:c>
      <x:c r="E254" s="8" t="n">
        <x:v>2994.861888111888</x:v>
      </x:c>
      <x:c r="F254" s="7" t="n">
        <x:v>34935</x:v>
      </x:c>
      <x:c r="G254" s="8" t="n">
        <x:f>E254*F254</x:f>
        <x:v>104625500.06118882</x:v>
      </x:c>
      <x:c r="H254" s="10" t="n">
        <x:f>F254/SUMIF($C$2:$C$403,C254,$F$2:$F$403)</x:f>
        <x:v>0.5853033323839362</x:v>
      </x:c>
      <x:c r="I254" s="2" t="str">
        <x:v>https://statistik.arbeitsagentur.de/Statistikdaten/Detail/201512/iiia6/beschaeftigung-entgelt-entgelt/entgelt-d-0-201512-xlsm.xlsm?__blob=publicationFile&amp;v=2</x:v>
      </x:c>
      <x:c r="J254" s="2" t="str">
        <x:v>https://statistik.arbeitsagentur.de/Statistikdaten/Detail/201512/iiia6/beschaeftigung-sozbe-svb-kreise-merkmale/svb-kreise-merkmale-d-0-201512-xlsx.xlsx?__blob=publicationFile&amp;v=1</x:v>
      </x:c>
      <x:c r="K254" s="2" t="str">
        <x:v>https://www.bbsr.bund.de/BBSR/DE/forschung/raumbeobachtung/Raumabgrenzungen/deutschland/regionen/arbeitsmarktregionen/arbeitsmarktregionen-2017.csv?__blob=publicationFile&amp;v=2</x:v>
      </x:c>
    </x:row>
    <x:row r="255" ht="24" customHeight="1">
      <x:c r="A255" s="6" t="str">
        <x:v>09275</x:v>
      </x:c>
      <x:c r="B255" s="2" t="str">
        <x:v>Passau</x:v>
      </x:c>
      <x:c r="C255" s="2" t="n">
        <x:v>165</x:v>
      </x:c>
      <x:c r="D255" s="2" t="str">
        <x:v>Passau</x:v>
      </x:c>
      <x:c r="E255" s="8" t="n">
        <x:v>2647.478751660027</x:v>
      </x:c>
      <x:c r="F255" s="7" t="n">
        <x:v>40921</x:v>
      </x:c>
      <x:c r="G255" s="8" t="n">
        <x:f>E255*F255</x:f>
        <x:v>108337477.99667996</x:v>
      </x:c>
      <x:c r="H255" s="10" t="n">
        <x:f>F255/SUMIF($C$2:$C$403,C255,$F$2:$F$403)</x:f>
        <x:v>0.6123423167282686</x:v>
      </x:c>
      <x:c r="I255" s="2" t="str">
        <x:v>https://statistik.arbeitsagentur.de/Statistikdaten/Detail/201512/iiia6/beschaeftigung-entgelt-entgelt/entgelt-d-0-201512-xlsm.xlsm?__blob=publicationFile&amp;v=2</x:v>
      </x:c>
      <x:c r="J255" s="2" t="str">
        <x:v>https://statistik.arbeitsagentur.de/Statistikdaten/Detail/201512/iiia6/beschaeftigung-sozbe-svb-kreise-merkmale/svb-kreise-merkmale-d-0-201512-xlsx.xlsx?__blob=publicationFile&amp;v=1</x:v>
      </x:c>
      <x:c r="K255" s="2" t="str">
        <x:v>https://www.bbsr.bund.de/BBSR/DE/forschung/raumbeobachtung/Raumabgrenzungen/deutschland/regionen/arbeitsmarktregionen/arbeitsmarktregionen-2017.csv?__blob=publicationFile&amp;v=2</x:v>
      </x:c>
    </x:row>
    <x:row r="256" ht="24" customHeight="1">
      <x:c r="A256" s="6" t="str">
        <x:v>09276</x:v>
      </x:c>
      <x:c r="B256" s="2" t="str">
        <x:v>Regen</x:v>
      </x:c>
      <x:c r="C256" s="2" t="n">
        <x:v>167</x:v>
      </x:c>
      <x:c r="D256" s="2" t="str">
        <x:v>Regen-Zwiesel</x:v>
      </x:c>
      <x:c r="E256" s="8" t="n">
        <x:v>2758.307807807808</x:v>
      </x:c>
      <x:c r="F256" s="7" t="n">
        <x:v>17995</x:v>
      </x:c>
      <x:c r="G256" s="8" t="n">
        <x:f>E256*F256</x:f>
        <x:v>49635749.0015015</x:v>
      </x:c>
      <x:c r="H256" s="10" t="n">
        <x:f>F256/SUMIF($C$2:$C$403,C256,$F$2:$F$403)</x:f>
        <x:v>1</x:v>
      </x:c>
      <x:c r="I256" s="2" t="str">
        <x:v>https://statistik.arbeitsagentur.de/Statistikdaten/Detail/201512/iiia6/beschaeftigung-entgelt-entgelt/entgelt-d-0-201512-xlsm.xlsm?__blob=publicationFile&amp;v=2</x:v>
      </x:c>
      <x:c r="J256" s="2" t="str">
        <x:v>https://statistik.arbeitsagentur.de/Statistikdaten/Detail/201512/iiia6/beschaeftigung-sozbe-svb-kreise-merkmale/svb-kreise-merkmale-d-0-201512-xlsx.xlsx?__blob=publicationFile&amp;v=1</x:v>
      </x:c>
      <x:c r="K256" s="2" t="str">
        <x:v>https://www.bbsr.bund.de/BBSR/DE/forschung/raumbeobachtung/Raumabgrenzungen/deutschland/regionen/arbeitsmarktregionen/arbeitsmarktregionen-2017.csv?__blob=publicationFile&amp;v=2</x:v>
      </x:c>
    </x:row>
    <x:row r="257" ht="24" customHeight="1">
      <x:c r="A257" s="6" t="str">
        <x:v>09277</x:v>
      </x:c>
      <x:c r="B257" s="2" t="str">
        <x:v>Rottal-Inn</x:v>
      </x:c>
      <x:c r="C257" s="2" t="n">
        <x:v>164</x:v>
      </x:c>
      <x:c r="D257" s="2" t="str">
        <x:v>Eggenfelden/Pfarrkirchen</x:v>
      </x:c>
      <x:c r="E257" s="8" t="n">
        <x:v>2684.206720977597</x:v>
      </x:c>
      <x:c r="F257" s="7" t="n">
        <x:v>26468</x:v>
      </x:c>
      <x:c r="G257" s="8" t="n">
        <x:f>E257*F257</x:f>
        <x:v>71045583.49083504</x:v>
      </x:c>
      <x:c r="H257" s="10" t="n">
        <x:f>F257/SUMIF($C$2:$C$403,C257,$F$2:$F$403)</x:f>
        <x:v>1</x:v>
      </x:c>
      <x:c r="I257" s="2" t="str">
        <x:v>https://statistik.arbeitsagentur.de/Statistikdaten/Detail/201512/iiia6/beschaeftigung-entgelt-entgelt/entgelt-d-0-201512-xlsm.xlsm?__blob=publicationFile&amp;v=2</x:v>
      </x:c>
      <x:c r="J257" s="2" t="str">
        <x:v>https://statistik.arbeitsagentur.de/Statistikdaten/Detail/201512/iiia6/beschaeftigung-sozbe-svb-kreise-merkmale/svb-kreise-merkmale-d-0-201512-xlsx.xlsx?__blob=publicationFile&amp;v=1</x:v>
      </x:c>
      <x:c r="K257" s="2" t="str">
        <x:v>https://www.bbsr.bund.de/BBSR/DE/forschung/raumbeobachtung/Raumabgrenzungen/deutschland/regionen/arbeitsmarktregionen/arbeitsmarktregionen-2017.csv?__blob=publicationFile&amp;v=2</x:v>
      </x:c>
    </x:row>
    <x:row r="258" ht="24" customHeight="1">
      <x:c r="A258" s="6" t="str">
        <x:v>09278</x:v>
      </x:c>
      <x:c r="B258" s="2" t="str">
        <x:v>Straubing-Bogen</x:v>
      </x:c>
      <x:c r="C258" s="2" t="n">
        <x:v>169</x:v>
      </x:c>
      <x:c r="D258" s="2" t="str">
        <x:v>Straubing</x:v>
      </x:c>
      <x:c r="E258" s="8" t="n">
        <x:v>2787.9595469255664</x:v>
      </x:c>
      <x:c r="F258" s="7" t="n">
        <x:v>16947</x:v>
      </x:c>
      <x:c r="G258" s="8" t="n">
        <x:f>E258*F258</x:f>
        <x:v>47247550.441747576</x:v>
      </x:c>
      <x:c r="H258" s="10" t="n">
        <x:f>F258/SUMIF($C$2:$C$403,C258,$F$2:$F$403)</x:f>
        <x:v>0.45621449915201767</x:v>
      </x:c>
      <x:c r="I258" s="2" t="str">
        <x:v>https://statistik.arbeitsagentur.de/Statistikdaten/Detail/201512/iiia6/beschaeftigung-entgelt-entgelt/entgelt-d-0-201512-xlsm.xlsm?__blob=publicationFile&amp;v=2</x:v>
      </x:c>
      <x:c r="J258" s="2" t="str">
        <x:v>https://statistik.arbeitsagentur.de/Statistikdaten/Detail/201512/iiia6/beschaeftigung-sozbe-svb-kreise-merkmale/svb-kreise-merkmale-d-0-201512-xlsx.xlsx?__blob=publicationFile&amp;v=1</x:v>
      </x:c>
      <x:c r="K258" s="2" t="str">
        <x:v>https://www.bbsr.bund.de/BBSR/DE/forschung/raumbeobachtung/Raumabgrenzungen/deutschland/regionen/arbeitsmarktregionen/arbeitsmarktregionen-2017.csv?__blob=publicationFile&amp;v=2</x:v>
      </x:c>
    </x:row>
    <x:row r="259" ht="24" customHeight="1">
      <x:c r="A259" s="6" t="str">
        <x:v>09279</x:v>
      </x:c>
      <x:c r="B259" s="2" t="str">
        <x:v>Dingolfing-Landau</x:v>
      </x:c>
      <x:c r="C259" s="2" t="n">
        <x:v>163</x:v>
      </x:c>
      <x:c r="D259" s="2" t="str">
        <x:v>Dingolfing</x:v>
      </x:c>
      <x:c r="E259" s="8" t="n">
        <x:v>3771.856783919598</x:v>
      </x:c>
      <x:c r="F259" s="7" t="n">
        <x:v>40452</x:v>
      </x:c>
      <x:c r="G259" s="8" t="n">
        <x:f>E259*F259</x:f>
        <x:v>152579150.62311557</x:v>
      </x:c>
      <x:c r="H259" s="10" t="n">
        <x:f>F259/SUMIF($C$2:$C$403,C259,$F$2:$F$403)</x:f>
        <x:v>1</x:v>
      </x:c>
      <x:c r="I259" s="2" t="str">
        <x:v>https://statistik.arbeitsagentur.de/Statistikdaten/Detail/201512/iiia6/beschaeftigung-entgelt-entgelt/entgelt-d-0-201512-xlsm.xlsm?__blob=publicationFile&amp;v=2</x:v>
      </x:c>
      <x:c r="J259" s="2" t="str">
        <x:v>https://statistik.arbeitsagentur.de/Statistikdaten/Detail/201512/iiia6/beschaeftigung-sozbe-svb-kreise-merkmale/svb-kreise-merkmale-d-0-201512-xlsx.xlsx?__blob=publicationFile&amp;v=1</x:v>
      </x:c>
      <x:c r="K259" s="2" t="str">
        <x:v>https://www.bbsr.bund.de/BBSR/DE/forschung/raumbeobachtung/Raumabgrenzungen/deutschland/regionen/arbeitsmarktregionen/arbeitsmarktregionen-2017.csv?__blob=publicationFile&amp;v=2</x:v>
      </x:c>
    </x:row>
    <x:row r="260" ht="24" customHeight="1">
      <x:c r="A260" s="6" t="str">
        <x:v>09361</x:v>
      </x:c>
      <x:c r="B260" s="2" t="str">
        <x:v>Amberg, Stadt</x:v>
      </x:c>
      <x:c r="C260" s="2" t="n">
        <x:v>173</x:v>
      </x:c>
      <x:c r="D260" s="2" t="str">
        <x:v>Amberg</x:v>
      </x:c>
      <x:c r="E260" s="8" t="n">
        <x:v>3285.3323170731705</x:v>
      </x:c>
      <x:c r="F260" s="7" t="n">
        <x:v>19003</x:v>
      </x:c>
      <x:c r="G260" s="8" t="n">
        <x:f>E260*F260</x:f>
        <x:v>62431170.02134146</x:v>
      </x:c>
      <x:c r="H260" s="10" t="n">
        <x:f>F260/SUMIF($C$2:$C$403,C260,$F$2:$F$403)</x:f>
        <x:v>0.4878818998716303</x:v>
      </x:c>
      <x:c r="I260" s="2" t="str">
        <x:v>https://statistik.arbeitsagentur.de/Statistikdaten/Detail/201512/iiia6/beschaeftigung-entgelt-entgelt/entgelt-d-0-201512-xlsm.xlsm?__blob=publicationFile&amp;v=2</x:v>
      </x:c>
      <x:c r="J260" s="2" t="str">
        <x:v>https://statistik.arbeitsagentur.de/Statistikdaten/Detail/201512/iiia6/beschaeftigung-sozbe-svb-kreise-merkmale/svb-kreise-merkmale-d-0-201512-xlsx.xlsx?__blob=publicationFile&amp;v=1</x:v>
      </x:c>
      <x:c r="K260" s="2" t="str">
        <x:v>https://www.bbsr.bund.de/BBSR/DE/forschung/raumbeobachtung/Raumabgrenzungen/deutschland/regionen/arbeitsmarktregionen/arbeitsmarktregionen-2017.csv?__blob=publicationFile&amp;v=2</x:v>
      </x:c>
    </x:row>
    <x:row r="261" ht="24" customHeight="1">
      <x:c r="A261" s="6" t="str">
        <x:v>09362</x:v>
      </x:c>
      <x:c r="B261" s="2" t="str">
        <x:v>Regensburg, Stadt</x:v>
      </x:c>
      <x:c r="C261" s="2" t="n">
        <x:v>171</x:v>
      </x:c>
      <x:c r="D261" s="2" t="str">
        <x:v>Regensburg</x:v>
      </x:c>
      <x:c r="E261" s="8" t="n">
        <x:v>3502.065762004175</x:v>
      </x:c>
      <x:c r="F261" s="7" t="n">
        <x:v>84339</x:v>
      </x:c>
      <x:c r="G261" s="8" t="n">
        <x:f>E261*F261</x:f>
        <x:v>295360724.30167013</x:v>
      </x:c>
      <x:c r="H261" s="10" t="n">
        <x:f>F261/SUMIF($C$2:$C$403,C261,$F$2:$F$403)</x:f>
        <x:v>0.7250290135396519</x:v>
      </x:c>
      <x:c r="I261" s="2" t="str">
        <x:v>https://statistik.arbeitsagentur.de/Statistikdaten/Detail/201512/iiia6/beschaeftigung-entgelt-entgelt/entgelt-d-0-201512-xlsm.xlsm?__blob=publicationFile&amp;v=2</x:v>
      </x:c>
      <x:c r="J261" s="2" t="str">
        <x:v>https://statistik.arbeitsagentur.de/Statistikdaten/Detail/201512/iiia6/beschaeftigung-sozbe-svb-kreise-merkmale/svb-kreise-merkmale-d-0-201512-xlsx.xlsx?__blob=publicationFile&amp;v=1</x:v>
      </x:c>
      <x:c r="K261" s="2" t="str">
        <x:v>https://www.bbsr.bund.de/BBSR/DE/forschung/raumbeobachtung/Raumabgrenzungen/deutschland/regionen/arbeitsmarktregionen/arbeitsmarktregionen-2017.csv?__blob=publicationFile&amp;v=2</x:v>
      </x:c>
    </x:row>
    <x:row r="262" ht="24" customHeight="1">
      <x:c r="A262" s="6" t="str">
        <x:v>09363</x:v>
      </x:c>
      <x:c r="B262" s="2" t="str">
        <x:v>Weiden i.d.OPf., Stadt</x:v>
      </x:c>
      <x:c r="C262" s="2" t="n">
        <x:v>175</x:v>
      </x:c>
      <x:c r="D262" s="2" t="str">
        <x:v>Weiden</x:v>
      </x:c>
      <x:c r="E262" s="8" t="n">
        <x:v>2740.904929577465</x:v>
      </x:c>
      <x:c r="F262" s="7" t="n">
        <x:v>18211</x:v>
      </x:c>
      <x:c r="G262" s="8" t="n">
        <x:f>E262*F262</x:f>
        <x:v>49914619.67253521</x:v>
      </x:c>
      <x:c r="H262" s="10" t="n">
        <x:f>F262/SUMIF($C$2:$C$403,C262,$F$2:$F$403)</x:f>
        <x:v>0.4520541144346531</x:v>
      </x:c>
      <x:c r="I262" s="2" t="str">
        <x:v>https://statistik.arbeitsagentur.de/Statistikdaten/Detail/201512/iiia6/beschaeftigung-entgelt-entgelt/entgelt-d-0-201512-xlsm.xlsm?__blob=publicationFile&amp;v=2</x:v>
      </x:c>
      <x:c r="J262" s="2" t="str">
        <x:v>https://statistik.arbeitsagentur.de/Statistikdaten/Detail/201512/iiia6/beschaeftigung-sozbe-svb-kreise-merkmale/svb-kreise-merkmale-d-0-201512-xlsx.xlsx?__blob=publicationFile&amp;v=1</x:v>
      </x:c>
      <x:c r="K262" s="2" t="str">
        <x:v>https://www.bbsr.bund.de/BBSR/DE/forschung/raumbeobachtung/Raumabgrenzungen/deutschland/regionen/arbeitsmarktregionen/arbeitsmarktregionen-2017.csv?__blob=publicationFile&amp;v=2</x:v>
      </x:c>
    </x:row>
    <x:row r="263" ht="24" customHeight="1">
      <x:c r="A263" s="6" t="str">
        <x:v>09371</x:v>
      </x:c>
      <x:c r="B263" s="2" t="str">
        <x:v>Amberg-Sulzbach</x:v>
      </x:c>
      <x:c r="C263" s="2" t="n">
        <x:v>173</x:v>
      </x:c>
      <x:c r="D263" s="2" t="str">
        <x:v>Amberg</x:v>
      </x:c>
      <x:c r="E263" s="8" t="n">
        <x:v>3000.1811224489797</x:v>
      </x:c>
      <x:c r="F263" s="7" t="n">
        <x:v>19947</x:v>
      </x:c>
      <x:c r="G263" s="8" t="n">
        <x:f>E263*F263</x:f>
        <x:v>59844612.8494898</x:v>
      </x:c>
      <x:c r="H263" s="10" t="n">
        <x:f>F263/SUMIF($C$2:$C$403,C263,$F$2:$F$403)</x:f>
        <x:v>0.5121181001283697</x:v>
      </x:c>
      <x:c r="I263" s="2" t="str">
        <x:v>https://statistik.arbeitsagentur.de/Statistikdaten/Detail/201512/iiia6/beschaeftigung-entgelt-entgelt/entgelt-d-0-201512-xlsm.xlsm?__blob=publicationFile&amp;v=2</x:v>
      </x:c>
      <x:c r="J263" s="2" t="str">
        <x:v>https://statistik.arbeitsagentur.de/Statistikdaten/Detail/201512/iiia6/beschaeftigung-sozbe-svb-kreise-merkmale/svb-kreise-merkmale-d-0-201512-xlsx.xlsx?__blob=publicationFile&amp;v=1</x:v>
      </x:c>
      <x:c r="K263" s="2" t="str">
        <x:v>https://www.bbsr.bund.de/BBSR/DE/forschung/raumbeobachtung/Raumabgrenzungen/deutschland/regionen/arbeitsmarktregionen/arbeitsmarktregionen-2017.csv?__blob=publicationFile&amp;v=2</x:v>
      </x:c>
    </x:row>
    <x:row r="264" ht="24" customHeight="1">
      <x:c r="A264" s="6" t="str">
        <x:v>09372</x:v>
      </x:c>
      <x:c r="B264" s="2" t="str">
        <x:v>Cham</x:v>
      </x:c>
      <x:c r="C264" s="2" t="n">
        <x:v>170</x:v>
      </x:c>
      <x:c r="D264" s="2" t="str">
        <x:v>Cham</x:v>
      </x:c>
      <x:c r="E264" s="8" t="n">
        <x:v>2707.5182094081943</x:v>
      </x:c>
      <x:c r="F264" s="7" t="n">
        <x:v>34815</x:v>
      </x:c>
      <x:c r="G264" s="8" t="n">
        <x:f>E264*F264</x:f>
        <x:v>94262246.46054628</x:v>
      </x:c>
      <x:c r="H264" s="10" t="n">
        <x:f>F264/SUMIF($C$2:$C$403,C264,$F$2:$F$403)</x:f>
        <x:v>1</x:v>
      </x:c>
      <x:c r="I264" s="2" t="str">
        <x:v>https://statistik.arbeitsagentur.de/Statistikdaten/Detail/201512/iiia6/beschaeftigung-entgelt-entgelt/entgelt-d-0-201512-xlsm.xlsm?__blob=publicationFile&amp;v=2</x:v>
      </x:c>
      <x:c r="J264" s="2" t="str">
        <x:v>https://statistik.arbeitsagentur.de/Statistikdaten/Detail/201512/iiia6/beschaeftigung-sozbe-svb-kreise-merkmale/svb-kreise-merkmale-d-0-201512-xlsx.xlsx?__blob=publicationFile&amp;v=1</x:v>
      </x:c>
      <x:c r="K264" s="2" t="str">
        <x:v>https://www.bbsr.bund.de/BBSR/DE/forschung/raumbeobachtung/Raumabgrenzungen/deutschland/regionen/arbeitsmarktregionen/arbeitsmarktregionen-2017.csv?__blob=publicationFile&amp;v=2</x:v>
      </x:c>
    </x:row>
    <x:row r="265" ht="24" customHeight="1">
      <x:c r="A265" s="6" t="str">
        <x:v>09373</x:v>
      </x:c>
      <x:c r="B265" s="2" t="str">
        <x:v>Neumarkt i.d.OPf.</x:v>
      </x:c>
      <x:c r="C265" s="2" t="n">
        <x:v>174</x:v>
      </x:c>
      <x:c r="D265" s="2" t="str">
        <x:v>Neumarkt</x:v>
      </x:c>
      <x:c r="E265" s="8" t="n">
        <x:v>3046.447030497592</x:v>
      </x:c>
      <x:c r="F265" s="7" t="n">
        <x:v>34148</x:v>
      </x:c>
      <x:c r="G265" s="8" t="n">
        <x:f>E265*F265</x:f>
        <x:v>104030073.19743177</x:v>
      </x:c>
      <x:c r="H265" s="10" t="n">
        <x:f>F265/SUMIF($C$2:$C$403,C265,$F$2:$F$403)</x:f>
        <x:v>1</x:v>
      </x:c>
      <x:c r="I265" s="2" t="str">
        <x:v>https://statistik.arbeitsagentur.de/Statistikdaten/Detail/201512/iiia6/beschaeftigung-entgelt-entgelt/entgelt-d-0-201512-xlsm.xlsm?__blob=publicationFile&amp;v=2</x:v>
      </x:c>
      <x:c r="J265" s="2" t="str">
        <x:v>https://statistik.arbeitsagentur.de/Statistikdaten/Detail/201512/iiia6/beschaeftigung-sozbe-svb-kreise-merkmale/svb-kreise-merkmale-d-0-201512-xlsx.xlsx?__blob=publicationFile&amp;v=1</x:v>
      </x:c>
      <x:c r="K265" s="2" t="str">
        <x:v>https://www.bbsr.bund.de/BBSR/DE/forschung/raumbeobachtung/Raumabgrenzungen/deutschland/regionen/arbeitsmarktregionen/arbeitsmarktregionen-2017.csv?__blob=publicationFile&amp;v=2</x:v>
      </x:c>
    </x:row>
    <x:row r="266" ht="24" customHeight="1">
      <x:c r="A266" s="6" t="str">
        <x:v>09374</x:v>
      </x:c>
      <x:c r="B266" s="2" t="str">
        <x:v>Neustadt a.d.Waldnaab</x:v>
      </x:c>
      <x:c r="C266" s="2" t="n">
        <x:v>175</x:v>
      </x:c>
      <x:c r="D266" s="2" t="str">
        <x:v>Weiden</x:v>
      </x:c>
      <x:c r="E266" s="8" t="n">
        <x:v>2851.136574074074</x:v>
      </x:c>
      <x:c r="F266" s="7" t="n">
        <x:v>22074</x:v>
      </x:c>
      <x:c r="G266" s="8" t="n">
        <x:f>E266*F266</x:f>
        <x:v>62935988.736111104</x:v>
      </x:c>
      <x:c r="H266" s="10" t="n">
        <x:f>F266/SUMIF($C$2:$C$403,C266,$F$2:$F$403)</x:f>
        <x:v>0.547945885565347</x:v>
      </x:c>
      <x:c r="I266" s="2" t="str">
        <x:v>https://statistik.arbeitsagentur.de/Statistikdaten/Detail/201512/iiia6/beschaeftigung-entgelt-entgelt/entgelt-d-0-201512-xlsm.xlsm?__blob=publicationFile&amp;v=2</x:v>
      </x:c>
      <x:c r="J266" s="2" t="str">
        <x:v>https://statistik.arbeitsagentur.de/Statistikdaten/Detail/201512/iiia6/beschaeftigung-sozbe-svb-kreise-merkmale/svb-kreise-merkmale-d-0-201512-xlsx.xlsx?__blob=publicationFile&amp;v=1</x:v>
      </x:c>
      <x:c r="K266" s="2" t="str">
        <x:v>https://www.bbsr.bund.de/BBSR/DE/forschung/raumbeobachtung/Raumabgrenzungen/deutschland/regionen/arbeitsmarktregionen/arbeitsmarktregionen-2017.csv?__blob=publicationFile&amp;v=2</x:v>
      </x:c>
    </x:row>
    <x:row r="267" ht="24" customHeight="1">
      <x:c r="A267" s="6" t="str">
        <x:v>09375</x:v>
      </x:c>
      <x:c r="B267" s="2" t="str">
        <x:v>Regensburg</x:v>
      </x:c>
      <x:c r="C267" s="2" t="n">
        <x:v>171</x:v>
      </x:c>
      <x:c r="D267" s="2" t="str">
        <x:v>Regensburg</x:v>
      </x:c>
      <x:c r="E267" s="8" t="n">
        <x:v>3001.3695652173915</x:v>
      </x:c>
      <x:c r="F267" s="7" t="n">
        <x:v>31986</x:v>
      </x:c>
      <x:c r="G267" s="8" t="n">
        <x:f>E267*F267</x:f>
        <x:v>96001806.91304348</x:v>
      </x:c>
      <x:c r="H267" s="10" t="n">
        <x:f>F267/SUMIF($C$2:$C$403,C267,$F$2:$F$403)</x:f>
        <x:v>0.2749709864603482</x:v>
      </x:c>
      <x:c r="I267" s="2" t="str">
        <x:v>https://statistik.arbeitsagentur.de/Statistikdaten/Detail/201512/iiia6/beschaeftigung-entgelt-entgelt/entgelt-d-0-201512-xlsm.xlsm?__blob=publicationFile&amp;v=2</x:v>
      </x:c>
      <x:c r="J267" s="2" t="str">
        <x:v>https://statistik.arbeitsagentur.de/Statistikdaten/Detail/201512/iiia6/beschaeftigung-sozbe-svb-kreise-merkmale/svb-kreise-merkmale-d-0-201512-xlsx.xlsx?__blob=publicationFile&amp;v=1</x:v>
      </x:c>
      <x:c r="K267" s="2" t="str">
        <x:v>https://www.bbsr.bund.de/BBSR/DE/forschung/raumbeobachtung/Raumabgrenzungen/deutschland/regionen/arbeitsmarktregionen/arbeitsmarktregionen-2017.csv?__blob=publicationFile&amp;v=2</x:v>
      </x:c>
    </x:row>
    <x:row r="268" ht="24" customHeight="1">
      <x:c r="A268" s="6" t="str">
        <x:v>09376</x:v>
      </x:c>
      <x:c r="B268" s="2" t="str">
        <x:v>Schwandorf</x:v>
      </x:c>
      <x:c r="C268" s="2" t="n">
        <x:v>172</x:v>
      </x:c>
      <x:c r="D268" s="2" t="str">
        <x:v>Schwandorf</x:v>
      </x:c>
      <x:c r="E268" s="8" t="n">
        <x:v>2847.1178521617853</x:v>
      </x:c>
      <x:c r="F268" s="7" t="n">
        <x:v>40555</x:v>
      </x:c>
      <x:c r="G268" s="8" t="n">
        <x:f>E268*F268</x:f>
        <x:v>115464864.4944212</x:v>
      </x:c>
      <x:c r="H268" s="10" t="n">
        <x:f>F268/SUMIF($C$2:$C$403,C268,$F$2:$F$403)</x:f>
        <x:v>1</x:v>
      </x:c>
      <x:c r="I268" s="2" t="str">
        <x:v>https://statistik.arbeitsagentur.de/Statistikdaten/Detail/201512/iiia6/beschaeftigung-entgelt-entgelt/entgelt-d-0-201512-xlsm.xlsm?__blob=publicationFile&amp;v=2</x:v>
      </x:c>
      <x:c r="J268" s="2" t="str">
        <x:v>https://statistik.arbeitsagentur.de/Statistikdaten/Detail/201512/iiia6/beschaeftigung-sozbe-svb-kreise-merkmale/svb-kreise-merkmale-d-0-201512-xlsx.xlsx?__blob=publicationFile&amp;v=1</x:v>
      </x:c>
      <x:c r="K268" s="2" t="str">
        <x:v>https://www.bbsr.bund.de/BBSR/DE/forschung/raumbeobachtung/Raumabgrenzungen/deutschland/regionen/arbeitsmarktregionen/arbeitsmarktregionen-2017.csv?__blob=publicationFile&amp;v=2</x:v>
      </x:c>
    </x:row>
    <x:row r="269" ht="24" customHeight="1">
      <x:c r="A269" s="6" t="str">
        <x:v>09377</x:v>
      </x:c>
      <x:c r="B269" s="2" t="str">
        <x:v>Tirschenreuth</x:v>
      </x:c>
      <x:c r="C269" s="2" t="n">
        <x:v>176</x:v>
      </x:c>
      <x:c r="D269" s="2" t="str">
        <x:v>Marktredwitz</x:v>
      </x:c>
      <x:c r="E269" s="8" t="n">
        <x:v>2773.714285714286</x:v>
      </x:c>
      <x:c r="F269" s="7" t="n">
        <x:v>17471</x:v>
      </x:c>
      <x:c r="G269" s="8" t="n">
        <x:f>E269*F269</x:f>
        <x:v>48459562.28571428</x:v>
      </x:c>
      <x:c r="H269" s="10" t="n">
        <x:f>F269/SUMIF($C$2:$C$403,C269,$F$2:$F$403)</x:f>
        <x:v>0.4584000209902133</x:v>
      </x:c>
      <x:c r="I269" s="2" t="str">
        <x:v>https://statistik.arbeitsagentur.de/Statistikdaten/Detail/201512/iiia6/beschaeftigung-entgelt-entgelt/entgelt-d-0-201512-xlsm.xlsm?__blob=publicationFile&amp;v=2</x:v>
      </x:c>
      <x:c r="J269" s="2" t="str">
        <x:v>https://statistik.arbeitsagentur.de/Statistikdaten/Detail/201512/iiia6/beschaeftigung-sozbe-svb-kreise-merkmale/svb-kreise-merkmale-d-0-201512-xlsx.xlsx?__blob=publicationFile&amp;v=1</x:v>
      </x:c>
      <x:c r="K269" s="2" t="str">
        <x:v>https://www.bbsr.bund.de/BBSR/DE/forschung/raumbeobachtung/Raumabgrenzungen/deutschland/regionen/arbeitsmarktregionen/arbeitsmarktregionen-2017.csv?__blob=publicationFile&amp;v=2</x:v>
      </x:c>
    </x:row>
    <x:row r="270" ht="24" customHeight="1">
      <x:c r="A270" s="6" t="str">
        <x:v>09461</x:v>
      </x:c>
      <x:c r="B270" s="2" t="str">
        <x:v>Bamberg, Stadt</x:v>
      </x:c>
      <x:c r="C270" s="2" t="n">
        <x:v>179</x:v>
      </x:c>
      <x:c r="D270" s="2" t="str">
        <x:v>Bamberg</x:v>
      </x:c>
      <x:c r="E270" s="8" t="n">
        <x:v>3233.813679245283</x:v>
      </x:c>
      <x:c r="F270" s="7" t="n">
        <x:v>37047</x:v>
      </x:c>
      <x:c r="G270" s="8" t="n">
        <x:f>E270*F270</x:f>
        <x:v>119803095.375</x:v>
      </x:c>
      <x:c r="H270" s="10" t="n">
        <x:f>F270/SUMIF($C$2:$C$403,C270,$F$2:$F$403)</x:f>
        <x:v>0.5849649466304554</x:v>
      </x:c>
      <x:c r="I270" s="2" t="str">
        <x:v>https://statistik.arbeitsagentur.de/Statistikdaten/Detail/201512/iiia6/beschaeftigung-entgelt-entgelt/entgelt-d-0-201512-xlsm.xlsm?__blob=publicationFile&amp;v=2</x:v>
      </x:c>
      <x:c r="J270" s="2" t="str">
        <x:v>https://statistik.arbeitsagentur.de/Statistikdaten/Detail/201512/iiia6/beschaeftigung-sozbe-svb-kreise-merkmale/svb-kreise-merkmale-d-0-201512-xlsx.xlsx?__blob=publicationFile&amp;v=1</x:v>
      </x:c>
      <x:c r="K270" s="2" t="str">
        <x:v>https://www.bbsr.bund.de/BBSR/DE/forschung/raumbeobachtung/Raumabgrenzungen/deutschland/regionen/arbeitsmarktregionen/arbeitsmarktregionen-2017.csv?__blob=publicationFile&amp;v=2</x:v>
      </x:c>
    </x:row>
    <x:row r="271" ht="24" customHeight="1">
      <x:c r="A271" s="6" t="str">
        <x:v>09462</x:v>
      </x:c>
      <x:c r="B271" s="2" t="str">
        <x:v>Bayreuth, Stadt</x:v>
      </x:c>
      <x:c r="C271" s="2" t="n">
        <x:v>178</x:v>
      </x:c>
      <x:c r="D271" s="2" t="str">
        <x:v>Bayreuth</x:v>
      </x:c>
      <x:c r="E271" s="8" t="n">
        <x:v>3058.8158995815897</x:v>
      </x:c>
      <x:c r="F271" s="7" t="n">
        <x:v>30895</x:v>
      </x:c>
      <x:c r="G271" s="8" t="n">
        <x:f>E271*F271</x:f>
        <x:v>94502117.21757321</x:v>
      </x:c>
      <x:c r="H271" s="10" t="n">
        <x:f>F271/SUMIF($C$2:$C$403,C271,$F$2:$F$403)</x:f>
        <x:v>0.6602765489089782</x:v>
      </x:c>
      <x:c r="I271" s="2" t="str">
        <x:v>https://statistik.arbeitsagentur.de/Statistikdaten/Detail/201512/iiia6/beschaeftigung-entgelt-entgelt/entgelt-d-0-201512-xlsm.xlsm?__blob=publicationFile&amp;v=2</x:v>
      </x:c>
      <x:c r="J271" s="2" t="str">
        <x:v>https://statistik.arbeitsagentur.de/Statistikdaten/Detail/201512/iiia6/beschaeftigung-sozbe-svb-kreise-merkmale/svb-kreise-merkmale-d-0-201512-xlsx.xlsx?__blob=publicationFile&amp;v=1</x:v>
      </x:c>
      <x:c r="K271" s="2" t="str">
        <x:v>https://www.bbsr.bund.de/BBSR/DE/forschung/raumbeobachtung/Raumabgrenzungen/deutschland/regionen/arbeitsmarktregionen/arbeitsmarktregionen-2017.csv?__blob=publicationFile&amp;v=2</x:v>
      </x:c>
    </x:row>
    <x:row r="272" ht="24" customHeight="1">
      <x:c r="A272" s="6" t="str">
        <x:v>09463</x:v>
      </x:c>
      <x:c r="B272" s="2" t="str">
        <x:v>Coburg, Stadt</x:v>
      </x:c>
      <x:c r="C272" s="2" t="n">
        <x:v>182</x:v>
      </x:c>
      <x:c r="D272" s="2" t="str">
        <x:v>Coburg</x:v>
      </x:c>
      <x:c r="E272" s="8" t="n">
        <x:v>3373.078125</x:v>
      </x:c>
      <x:c r="F272" s="7" t="n">
        <x:v>25595</x:v>
      </x:c>
      <x:c r="G272" s="8" t="n">
        <x:f>E272*F272</x:f>
        <x:v>86333934.609375</x:v>
      </x:c>
      <x:c r="H272" s="10" t="n">
        <x:f>F272/SUMIF($C$2:$C$403,C272,$F$2:$F$403)</x:f>
        <x:v>0.5538484841927596</x:v>
      </x:c>
      <x:c r="I272" s="2" t="str">
        <x:v>https://statistik.arbeitsagentur.de/Statistikdaten/Detail/201512/iiia6/beschaeftigung-entgelt-entgelt/entgelt-d-0-201512-xlsm.xlsm?__blob=publicationFile&amp;v=2</x:v>
      </x:c>
      <x:c r="J272" s="2" t="str">
        <x:v>https://statistik.arbeitsagentur.de/Statistikdaten/Detail/201512/iiia6/beschaeftigung-sozbe-svb-kreise-merkmale/svb-kreise-merkmale-d-0-201512-xlsx.xlsx?__blob=publicationFile&amp;v=1</x:v>
      </x:c>
      <x:c r="K272" s="2" t="str">
        <x:v>https://www.bbsr.bund.de/BBSR/DE/forschung/raumbeobachtung/Raumabgrenzungen/deutschland/regionen/arbeitsmarktregionen/arbeitsmarktregionen-2017.csv?__blob=publicationFile&amp;v=2</x:v>
      </x:c>
    </x:row>
    <x:row r="273" ht="24" customHeight="1">
      <x:c r="A273" s="6" t="str">
        <x:v>09464</x:v>
      </x:c>
      <x:c r="B273" s="2" t="str">
        <x:v>Hof, Stadt</x:v>
      </x:c>
      <x:c r="C273" s="2" t="n">
        <x:v>177</x:v>
      </x:c>
      <x:c r="D273" s="2" t="str">
        <x:v>Hof</x:v>
      </x:c>
      <x:c r="E273" s="8" t="n">
        <x:v>2567.028239202658</x:v>
      </x:c>
      <x:c r="F273" s="7" t="n">
        <x:v>16875</x:v>
      </x:c>
      <x:c r="G273" s="8" t="n">
        <x:f>E273*F273</x:f>
        <x:v>43318601.53654485</x:v>
      </x:c>
      <x:c r="H273" s="10" t="n">
        <x:f>F273/SUMIF($C$2:$C$403,C273,$F$2:$F$403)</x:f>
        <x:v>0.3937605002800075</x:v>
      </x:c>
      <x:c r="I273" s="2" t="str">
        <x:v>https://statistik.arbeitsagentur.de/Statistikdaten/Detail/201512/iiia6/beschaeftigung-entgelt-entgelt/entgelt-d-0-201512-xlsm.xlsm?__blob=publicationFile&amp;v=2</x:v>
      </x:c>
      <x:c r="J273" s="2" t="str">
        <x:v>https://statistik.arbeitsagentur.de/Statistikdaten/Detail/201512/iiia6/beschaeftigung-sozbe-svb-kreise-merkmale/svb-kreise-merkmale-d-0-201512-xlsx.xlsx?__blob=publicationFile&amp;v=1</x:v>
      </x:c>
      <x:c r="K273" s="2" t="str">
        <x:v>https://www.bbsr.bund.de/BBSR/DE/forschung/raumbeobachtung/Raumabgrenzungen/deutschland/regionen/arbeitsmarktregionen/arbeitsmarktregionen-2017.csv?__blob=publicationFile&amp;v=2</x:v>
      </x:c>
    </x:row>
    <x:row r="274" ht="24" customHeight="1">
      <x:c r="A274" s="6" t="str">
        <x:v>09471</x:v>
      </x:c>
      <x:c r="B274" s="2" t="str">
        <x:v>Bamberg</x:v>
      </x:c>
      <x:c r="C274" s="2" t="n">
        <x:v>179</x:v>
      </x:c>
      <x:c r="D274" s="2" t="str">
        <x:v>Bamberg</x:v>
      </x:c>
      <x:c r="E274" s="8" t="n">
        <x:v>2763.1881720430106</x:v>
      </x:c>
      <x:c r="F274" s="7" t="n">
        <x:v>26285</x:v>
      </x:c>
      <x:c r="G274" s="8" t="n">
        <x:f>E274*F274</x:f>
        <x:v>72630401.10215053</x:v>
      </x:c>
      <x:c r="H274" s="10" t="n">
        <x:f>F274/SUMIF($C$2:$C$403,C274,$F$2:$F$403)</x:f>
        <x:v>0.4150350533695446</x:v>
      </x:c>
      <x:c r="I274" s="2" t="str">
        <x:v>https://statistik.arbeitsagentur.de/Statistikdaten/Detail/201512/iiia6/beschaeftigung-entgelt-entgelt/entgelt-d-0-201512-xlsm.xlsm?__blob=publicationFile&amp;v=2</x:v>
      </x:c>
      <x:c r="J274" s="2" t="str">
        <x:v>https://statistik.arbeitsagentur.de/Statistikdaten/Detail/201512/iiia6/beschaeftigung-sozbe-svb-kreise-merkmale/svb-kreise-merkmale-d-0-201512-xlsx.xlsx?__blob=publicationFile&amp;v=1</x:v>
      </x:c>
      <x:c r="K274" s="2" t="str">
        <x:v>https://www.bbsr.bund.de/BBSR/DE/forschung/raumbeobachtung/Raumabgrenzungen/deutschland/regionen/arbeitsmarktregionen/arbeitsmarktregionen-2017.csv?__blob=publicationFile&amp;v=2</x:v>
      </x:c>
    </x:row>
    <x:row r="275" ht="24" customHeight="1">
      <x:c r="A275" s="6" t="str">
        <x:v>09472</x:v>
      </x:c>
      <x:c r="B275" s="2" t="str">
        <x:v>Bayreuth</x:v>
      </x:c>
      <x:c r="C275" s="2" t="n">
        <x:v>178</x:v>
      </x:c>
      <x:c r="D275" s="2" t="str">
        <x:v>Bayreuth</x:v>
      </x:c>
      <x:c r="E275" s="8" t="n">
        <x:v>2721.69140625</x:v>
      </x:c>
      <x:c r="F275" s="7" t="n">
        <x:v>15896</x:v>
      </x:c>
      <x:c r="G275" s="8" t="n">
        <x:f>E275*F275</x:f>
        <x:v>43264006.59375</x:v>
      </x:c>
      <x:c r="H275" s="10" t="n">
        <x:f>F275/SUMIF($C$2:$C$403,C275,$F$2:$F$403)</x:f>
        <x:v>0.33972345109102176</x:v>
      </x:c>
      <x:c r="I275" s="2" t="str">
        <x:v>https://statistik.arbeitsagentur.de/Statistikdaten/Detail/201512/iiia6/beschaeftigung-entgelt-entgelt/entgelt-d-0-201512-xlsm.xlsm?__blob=publicationFile&amp;v=2</x:v>
      </x:c>
      <x:c r="J275" s="2" t="str">
        <x:v>https://statistik.arbeitsagentur.de/Statistikdaten/Detail/201512/iiia6/beschaeftigung-sozbe-svb-kreise-merkmale/svb-kreise-merkmale-d-0-201512-xlsx.xlsx?__blob=publicationFile&amp;v=1</x:v>
      </x:c>
      <x:c r="K275" s="2" t="str">
        <x:v>https://www.bbsr.bund.de/BBSR/DE/forschung/raumbeobachtung/Raumabgrenzungen/deutschland/regionen/arbeitsmarktregionen/arbeitsmarktregionen-2017.csv?__blob=publicationFile&amp;v=2</x:v>
      </x:c>
    </x:row>
    <x:row r="276" ht="24" customHeight="1">
      <x:c r="A276" s="6" t="str">
        <x:v>09473</x:v>
      </x:c>
      <x:c r="B276" s="2" t="str">
        <x:v>Coburg</x:v>
      </x:c>
      <x:c r="C276" s="2" t="n">
        <x:v>182</x:v>
      </x:c>
      <x:c r="D276" s="2" t="str">
        <x:v>Coburg</x:v>
      </x:c>
      <x:c r="E276" s="8" t="n">
        <x:v>2532.0582959641256</x:v>
      </x:c>
      <x:c r="F276" s="7" t="n">
        <x:v>20618</x:v>
      </x:c>
      <x:c r="G276" s="8" t="n">
        <x:f>E276*F276</x:f>
        <x:v>52205977.94618834</x:v>
      </x:c>
      <x:c r="H276" s="10" t="n">
        <x:f>F276/SUMIF($C$2:$C$403,C276,$F$2:$F$403)</x:f>
        <x:v>0.4461515158072404</x:v>
      </x:c>
      <x:c r="I276" s="2" t="str">
        <x:v>https://statistik.arbeitsagentur.de/Statistikdaten/Detail/201512/iiia6/beschaeftigung-entgelt-entgelt/entgelt-d-0-201512-xlsm.xlsm?__blob=publicationFile&amp;v=2</x:v>
      </x:c>
      <x:c r="J276" s="2" t="str">
        <x:v>https://statistik.arbeitsagentur.de/Statistikdaten/Detail/201512/iiia6/beschaeftigung-sozbe-svb-kreise-merkmale/svb-kreise-merkmale-d-0-201512-xlsx.xlsx?__blob=publicationFile&amp;v=1</x:v>
      </x:c>
      <x:c r="K276" s="2" t="str">
        <x:v>https://www.bbsr.bund.de/BBSR/DE/forschung/raumbeobachtung/Raumabgrenzungen/deutschland/regionen/arbeitsmarktregionen/arbeitsmarktregionen-2017.csv?__blob=publicationFile&amp;v=2</x:v>
      </x:c>
    </x:row>
    <x:row r="277" ht="24" customHeight="1">
      <x:c r="A277" s="6" t="str">
        <x:v>09474</x:v>
      </x:c>
      <x:c r="B277" s="2" t="str">
        <x:v>Forchheim</x:v>
      </x:c>
      <x:c r="C277" s="2" t="n">
        <x:v>184</x:v>
      </x:c>
      <x:c r="D277" s="2" t="str">
        <x:v>Erlangen</x:v>
      </x:c>
      <x:c r="E277" s="8" t="n">
        <x:v>2922.1393442622953</x:v>
      </x:c>
      <x:c r="F277" s="7" t="n">
        <x:v>20139</x:v>
      </x:c>
      <x:c r="G277" s="8" t="n">
        <x:f>E277*F277</x:f>
        <x:v>58848964.25409836</x:v>
      </x:c>
      <x:c r="H277" s="10" t="n">
        <x:f>F277/SUMIF($C$2:$C$403,C277,$F$2:$F$403)</x:f>
        <x:v>0.165400504274838</x:v>
      </x:c>
      <x:c r="I277" s="2" t="str">
        <x:v>https://statistik.arbeitsagentur.de/Statistikdaten/Detail/201512/iiia6/beschaeftigung-entgelt-entgelt/entgelt-d-0-201512-xlsm.xlsm?__blob=publicationFile&amp;v=2</x:v>
      </x:c>
      <x:c r="J277" s="2" t="str">
        <x:v>https://statistik.arbeitsagentur.de/Statistikdaten/Detail/201512/iiia6/beschaeftigung-sozbe-svb-kreise-merkmale/svb-kreise-merkmale-d-0-201512-xlsx.xlsx?__blob=publicationFile&amp;v=1</x:v>
      </x:c>
      <x:c r="K277" s="2" t="str">
        <x:v>https://www.bbsr.bund.de/BBSR/DE/forschung/raumbeobachtung/Raumabgrenzungen/deutschland/regionen/arbeitsmarktregionen/arbeitsmarktregionen-2017.csv?__blob=publicationFile&amp;v=2</x:v>
      </x:c>
    </x:row>
    <x:row r="278" ht="24" customHeight="1">
      <x:c r="A278" s="6" t="str">
        <x:v>09475</x:v>
      </x:c>
      <x:c r="B278" s="2" t="str">
        <x:v>Hof</x:v>
      </x:c>
      <x:c r="C278" s="2" t="n">
        <x:v>177</x:v>
      </x:c>
      <x:c r="D278" s="2" t="str">
        <x:v>Hof</x:v>
      </x:c>
      <x:c r="E278" s="8" t="n">
        <x:v>2591.849809885932</x:v>
      </x:c>
      <x:c r="F278" s="7" t="n">
        <x:v>25981</x:v>
      </x:c>
      <x:c r="G278" s="8" t="n">
        <x:f>E278*F278</x:f>
        <x:v>67338849.9106464</x:v>
      </x:c>
      <x:c r="H278" s="10" t="n">
        <x:f>F278/SUMIF($C$2:$C$403,C278,$F$2:$F$403)</x:f>
        <x:v>0.6062394997199926</x:v>
      </x:c>
      <x:c r="I278" s="2" t="str">
        <x:v>https://statistik.arbeitsagentur.de/Statistikdaten/Detail/201512/iiia6/beschaeftigung-entgelt-entgelt/entgelt-d-0-201512-xlsm.xlsm?__blob=publicationFile&amp;v=2</x:v>
      </x:c>
      <x:c r="J278" s="2" t="str">
        <x:v>https://statistik.arbeitsagentur.de/Statistikdaten/Detail/201512/iiia6/beschaeftigung-sozbe-svb-kreise-merkmale/svb-kreise-merkmale-d-0-201512-xlsx.xlsx?__blob=publicationFile&amp;v=1</x:v>
      </x:c>
      <x:c r="K278" s="2" t="str">
        <x:v>https://www.bbsr.bund.de/BBSR/DE/forschung/raumbeobachtung/Raumabgrenzungen/deutschland/regionen/arbeitsmarktregionen/arbeitsmarktregionen-2017.csv?__blob=publicationFile&amp;v=2</x:v>
      </x:c>
    </x:row>
    <x:row r="279" ht="24" customHeight="1">
      <x:c r="A279" s="6" t="str">
        <x:v>09476</x:v>
      </x:c>
      <x:c r="B279" s="2" t="str">
        <x:v>Kronach</x:v>
      </x:c>
      <x:c r="C279" s="2" t="n">
        <x:v>181</x:v>
      </x:c>
      <x:c r="D279" s="2" t="str">
        <x:v>Kronach</x:v>
      </x:c>
      <x:c r="E279" s="8" t="n">
        <x:v>2589.0245901639346</x:v>
      </x:c>
      <x:c r="F279" s="7" t="n">
        <x:v>18585</x:v>
      </x:c>
      <x:c r="G279" s="8" t="n">
        <x:f>E279*F279</x:f>
        <x:v>48117022.00819673</x:v>
      </x:c>
      <x:c r="H279" s="10" t="n">
        <x:f>F279/SUMIF($C$2:$C$403,C279,$F$2:$F$403)</x:f>
        <x:v>1</x:v>
      </x:c>
      <x:c r="I279" s="2" t="str">
        <x:v>https://statistik.arbeitsagentur.de/Statistikdaten/Detail/201512/iiia6/beschaeftigung-entgelt-entgelt/entgelt-d-0-201512-xlsm.xlsm?__blob=publicationFile&amp;v=2</x:v>
      </x:c>
      <x:c r="J279" s="2" t="str">
        <x:v>https://statistik.arbeitsagentur.de/Statistikdaten/Detail/201512/iiia6/beschaeftigung-sozbe-svb-kreise-merkmale/svb-kreise-merkmale-d-0-201512-xlsx.xlsx?__blob=publicationFile&amp;v=1</x:v>
      </x:c>
      <x:c r="K279" s="2" t="str">
        <x:v>https://www.bbsr.bund.de/BBSR/DE/forschung/raumbeobachtung/Raumabgrenzungen/deutschland/regionen/arbeitsmarktregionen/arbeitsmarktregionen-2017.csv?__blob=publicationFile&amp;v=2</x:v>
      </x:c>
    </x:row>
    <x:row r="280" ht="24" customHeight="1">
      <x:c r="A280" s="6" t="str">
        <x:v>09477</x:v>
      </x:c>
      <x:c r="B280" s="2" t="str">
        <x:v>Kulmbach</x:v>
      </x:c>
      <x:c r="C280" s="2" t="n">
        <x:v>180</x:v>
      </x:c>
      <x:c r="D280" s="2" t="str">
        <x:v>Kulmbach</x:v>
      </x:c>
      <x:c r="E280" s="8" t="n">
        <x:v>2825.0042492917846</x:v>
      </x:c>
      <x:c r="F280" s="7" t="n">
        <x:v>19061</x:v>
      </x:c>
      <x:c r="G280" s="8" t="n">
        <x:f>E280*F280</x:f>
        <x:v>53847405.9957507</x:v>
      </x:c>
      <x:c r="H280" s="10" t="n">
        <x:f>F280/SUMIF($C$2:$C$403,C280,$F$2:$F$403)</x:f>
        <x:v>1</x:v>
      </x:c>
      <x:c r="I280" s="2" t="str">
        <x:v>https://statistik.arbeitsagentur.de/Statistikdaten/Detail/201512/iiia6/beschaeftigung-entgelt-entgelt/entgelt-d-0-201512-xlsm.xlsm?__blob=publicationFile&amp;v=2</x:v>
      </x:c>
      <x:c r="J280" s="2" t="str">
        <x:v>https://statistik.arbeitsagentur.de/Statistikdaten/Detail/201512/iiia6/beschaeftigung-sozbe-svb-kreise-merkmale/svb-kreise-merkmale-d-0-201512-xlsx.xlsx?__blob=publicationFile&amp;v=1</x:v>
      </x:c>
      <x:c r="K280" s="2" t="str">
        <x:v>https://www.bbsr.bund.de/BBSR/DE/forschung/raumbeobachtung/Raumabgrenzungen/deutschland/regionen/arbeitsmarktregionen/arbeitsmarktregionen-2017.csv?__blob=publicationFile&amp;v=2</x:v>
      </x:c>
    </x:row>
    <x:row r="281" ht="24" customHeight="1">
      <x:c r="A281" s="6" t="str">
        <x:v>09478</x:v>
      </x:c>
      <x:c r="B281" s="2" t="str">
        <x:v>Lichtenfels</x:v>
      </x:c>
      <x:c r="C281" s="2" t="n">
        <x:v>183</x:v>
      </x:c>
      <x:c r="D281" s="2" t="str">
        <x:v>Lichtenfels</x:v>
      </x:c>
      <x:c r="E281" s="8" t="n">
        <x:v>2576.1521739130435</x:v>
      </x:c>
      <x:c r="F281" s="7" t="n">
        <x:v>19623</x:v>
      </x:c>
      <x:c r="G281" s="8" t="n">
        <x:f>E281*F281</x:f>
        <x:v>50551834.108695656</x:v>
      </x:c>
      <x:c r="H281" s="10" t="n">
        <x:f>F281/SUMIF($C$2:$C$403,C281,$F$2:$F$403)</x:f>
        <x:v>1</x:v>
      </x:c>
      <x:c r="I281" s="2" t="str">
        <x:v>https://statistik.arbeitsagentur.de/Statistikdaten/Detail/201512/iiia6/beschaeftigung-entgelt-entgelt/entgelt-d-0-201512-xlsm.xlsm?__blob=publicationFile&amp;v=2</x:v>
      </x:c>
      <x:c r="J281" s="2" t="str">
        <x:v>https://statistik.arbeitsagentur.de/Statistikdaten/Detail/201512/iiia6/beschaeftigung-sozbe-svb-kreise-merkmale/svb-kreise-merkmale-d-0-201512-xlsx.xlsx?__blob=publicationFile&amp;v=1</x:v>
      </x:c>
      <x:c r="K281" s="2" t="str">
        <x:v>https://www.bbsr.bund.de/BBSR/DE/forschung/raumbeobachtung/Raumabgrenzungen/deutschland/regionen/arbeitsmarktregionen/arbeitsmarktregionen-2017.csv?__blob=publicationFile&amp;v=2</x:v>
      </x:c>
    </x:row>
    <x:row r="282" ht="24" customHeight="1">
      <x:c r="A282" s="6" t="str">
        <x:v>09479</x:v>
      </x:c>
      <x:c r="B282" s="2" t="str">
        <x:v>Wunsiedel i.Fichtelgebirge</x:v>
      </x:c>
      <x:c r="C282" s="2" t="n">
        <x:v>176</x:v>
      </x:c>
      <x:c r="D282" s="2" t="str">
        <x:v>Marktredwitz</x:v>
      </x:c>
      <x:c r="E282" s="8" t="n">
        <x:v>2827.4135802469136</x:v>
      </x:c>
      <x:c r="F282" s="7" t="n">
        <x:v>20642</x:v>
      </x:c>
      <x:c r="G282" s="8" t="n">
        <x:f>E282*F282</x:f>
        <x:v>58363471.12345679</x:v>
      </x:c>
      <x:c r="H282" s="10" t="n">
        <x:f>F282/SUMIF($C$2:$C$403,C282,$F$2:$F$403)</x:f>
        <x:v>0.5415999790097867</x:v>
      </x:c>
      <x:c r="I282" s="2" t="str">
        <x:v>https://statistik.arbeitsagentur.de/Statistikdaten/Detail/201512/iiia6/beschaeftigung-entgelt-entgelt/entgelt-d-0-201512-xlsm.xlsm?__blob=publicationFile&amp;v=2</x:v>
      </x:c>
      <x:c r="J282" s="2" t="str">
        <x:v>https://statistik.arbeitsagentur.de/Statistikdaten/Detail/201512/iiia6/beschaeftigung-sozbe-svb-kreise-merkmale/svb-kreise-merkmale-d-0-201512-xlsx.xlsx?__blob=publicationFile&amp;v=1</x:v>
      </x:c>
      <x:c r="K282" s="2" t="str">
        <x:v>https://www.bbsr.bund.de/BBSR/DE/forschung/raumbeobachtung/Raumabgrenzungen/deutschland/regionen/arbeitsmarktregionen/arbeitsmarktregionen-2017.csv?__blob=publicationFile&amp;v=2</x:v>
      </x:c>
    </x:row>
    <x:row r="283" ht="24" customHeight="1">
      <x:c r="A283" s="6" t="str">
        <x:v>09561</x:v>
      </x:c>
      <x:c r="B283" s="2" t="str">
        <x:v>Ansbach, Stadt</x:v>
      </x:c>
      <x:c r="C283" s="2" t="n">
        <x:v>187</x:v>
      </x:c>
      <x:c r="D283" s="2" t="str">
        <x:v>Ansbach</x:v>
      </x:c>
      <x:c r="E283" s="8" t="n">
        <x:v>3042.8835125448027</x:v>
      </x:c>
      <x:c r="F283" s="7" t="n">
        <x:v>18722</x:v>
      </x:c>
      <x:c r="G283" s="8" t="n">
        <x:f>E283*F283</x:f>
        <x:v>56968865.1218638</x:v>
      </x:c>
      <x:c r="H283" s="10" t="n">
        <x:f>F283/SUMIF($C$2:$C$403,C283,$F$2:$F$403)</x:f>
        <x:v>0.30208467793984767</x:v>
      </x:c>
      <x:c r="I283" s="2" t="str">
        <x:v>https://statistik.arbeitsagentur.de/Statistikdaten/Detail/201512/iiia6/beschaeftigung-entgelt-entgelt/entgelt-d-0-201512-xlsm.xlsm?__blob=publicationFile&amp;v=2</x:v>
      </x:c>
      <x:c r="J283" s="2" t="str">
        <x:v>https://statistik.arbeitsagentur.de/Statistikdaten/Detail/201512/iiia6/beschaeftigung-sozbe-svb-kreise-merkmale/svb-kreise-merkmale-d-0-201512-xlsx.xlsx?__blob=publicationFile&amp;v=1</x:v>
      </x:c>
      <x:c r="K283" s="2" t="str">
        <x:v>https://www.bbsr.bund.de/BBSR/DE/forschung/raumbeobachtung/Raumabgrenzungen/deutschland/regionen/arbeitsmarktregionen/arbeitsmarktregionen-2017.csv?__blob=publicationFile&amp;v=2</x:v>
      </x:c>
    </x:row>
    <x:row r="284" ht="24" customHeight="1">
      <x:c r="A284" s="6" t="str">
        <x:v>09562</x:v>
      </x:c>
      <x:c r="B284" s="2" t="str">
        <x:v>Erlangen, Stadt</x:v>
      </x:c>
      <x:c r="C284" s="2" t="n">
        <x:v>184</x:v>
      </x:c>
      <x:c r="D284" s="2" t="str">
        <x:v>Erlangen</x:v>
      </x:c>
      <x:c r="E284" s="8" t="n">
        <x:v>4483.053956834532</x:v>
      </x:c>
      <x:c r="F284" s="7" t="n">
        <x:v>65016</x:v>
      </x:c>
      <x:c r="G284" s="8" t="n">
        <x:f>E284*F284</x:f>
        <x:v>291470236.05755395</x:v>
      </x:c>
      <x:c r="H284" s="10" t="n">
        <x:f>F284/SUMIF($C$2:$C$403,C284,$F$2:$F$403)</x:f>
        <x:v>0.5339728480030224</x:v>
      </x:c>
      <x:c r="I284" s="2" t="str">
        <x:v>https://statistik.arbeitsagentur.de/Statistikdaten/Detail/201512/iiia6/beschaeftigung-entgelt-entgelt/entgelt-d-0-201512-xlsm.xlsm?__blob=publicationFile&amp;v=2</x:v>
      </x:c>
      <x:c r="J284" s="2" t="str">
        <x:v>https://statistik.arbeitsagentur.de/Statistikdaten/Detail/201512/iiia6/beschaeftigung-sozbe-svb-kreise-merkmale/svb-kreise-merkmale-d-0-201512-xlsx.xlsx?__blob=publicationFile&amp;v=1</x:v>
      </x:c>
      <x:c r="K284" s="2" t="str">
        <x:v>https://www.bbsr.bund.de/BBSR/DE/forschung/raumbeobachtung/Raumabgrenzungen/deutschland/regionen/arbeitsmarktregionen/arbeitsmarktregionen-2017.csv?__blob=publicationFile&amp;v=2</x:v>
      </x:c>
    </x:row>
    <x:row r="285" ht="24" customHeight="1">
      <x:c r="A285" s="6" t="str">
        <x:v>09563</x:v>
      </x:c>
      <x:c r="B285" s="2" t="str">
        <x:v>Fürth, Stadt</x:v>
      </x:c>
      <x:c r="C285" s="2" t="n">
        <x:v>185</x:v>
      </x:c>
      <x:c r="D285" s="2" t="str">
        <x:v>Nürnberg</x:v>
      </x:c>
      <x:c r="E285" s="8" t="n">
        <x:v>3106.4684684684685</x:v>
      </x:c>
      <x:c r="F285" s="7" t="n">
        <x:v>33687</x:v>
      </x:c>
      <x:c r="G285" s="8" t="n">
        <x:f>E285*F285</x:f>
        <x:v>104647603.2972973</x:v>
      </x:c>
      <x:c r="H285" s="10" t="n">
        <x:f>F285/SUMIF($C$2:$C$403,C285,$F$2:$F$403)</x:f>
        <x:v>0.09921393418723623</x:v>
      </x:c>
      <x:c r="I285" s="2" t="str">
        <x:v>https://statistik.arbeitsagentur.de/Statistikdaten/Detail/201512/iiia6/beschaeftigung-entgelt-entgelt/entgelt-d-0-201512-xlsm.xlsm?__blob=publicationFile&amp;v=2</x:v>
      </x:c>
      <x:c r="J285" s="2" t="str">
        <x:v>https://statistik.arbeitsagentur.de/Statistikdaten/Detail/201512/iiia6/beschaeftigung-sozbe-svb-kreise-merkmale/svb-kreise-merkmale-d-0-201512-xlsx.xlsx?__blob=publicationFile&amp;v=1</x:v>
      </x:c>
      <x:c r="K285" s="2" t="str">
        <x:v>https://www.bbsr.bund.de/BBSR/DE/forschung/raumbeobachtung/Raumabgrenzungen/deutschland/regionen/arbeitsmarktregionen/arbeitsmarktregionen-2017.csv?__blob=publicationFile&amp;v=2</x:v>
      </x:c>
    </x:row>
    <x:row r="286" ht="24" customHeight="1">
      <x:c r="A286" s="6" t="str">
        <x:v>09564</x:v>
      </x:c>
      <x:c r="B286" s="2" t="str">
        <x:v>Nürnberg, Stadt</x:v>
      </x:c>
      <x:c r="C286" s="2" t="n">
        <x:v>185</x:v>
      </x:c>
      <x:c r="D286" s="2" t="str">
        <x:v>Nürnberg</x:v>
      </x:c>
      <x:c r="E286" s="8" t="n">
        <x:v>3371.1508757961783</x:v>
      </x:c>
      <x:c r="F286" s="7" t="n">
        <x:v>215196</x:v>
      </x:c>
      <x:c r="G286" s="8" t="n">
        <x:f>E286*F286</x:f>
        <x:v>725458183.8678343</x:v>
      </x:c>
      <x:c r="H286" s="10" t="n">
        <x:f>F286/SUMIF($C$2:$C$403,C286,$F$2:$F$403)</x:f>
        <x:v>0.6337887547527677</x:v>
      </x:c>
      <x:c r="I286" s="2" t="str">
        <x:v>https://statistik.arbeitsagentur.de/Statistikdaten/Detail/201512/iiia6/beschaeftigung-entgelt-entgelt/entgelt-d-0-201512-xlsm.xlsm?__blob=publicationFile&amp;v=2</x:v>
      </x:c>
      <x:c r="J286" s="2" t="str">
        <x:v>https://statistik.arbeitsagentur.de/Statistikdaten/Detail/201512/iiia6/beschaeftigung-sozbe-svb-kreise-merkmale/svb-kreise-merkmale-d-0-201512-xlsx.xlsx?__blob=publicationFile&amp;v=1</x:v>
      </x:c>
      <x:c r="K286" s="2" t="str">
        <x:v>https://www.bbsr.bund.de/BBSR/DE/forschung/raumbeobachtung/Raumabgrenzungen/deutschland/regionen/arbeitsmarktregionen/arbeitsmarktregionen-2017.csv?__blob=publicationFile&amp;v=2</x:v>
      </x:c>
    </x:row>
    <x:row r="287" ht="24" customHeight="1">
      <x:c r="A287" s="6" t="str">
        <x:v>09565</x:v>
      </x:c>
      <x:c r="B287" s="2" t="str">
        <x:v>Schwabach, Stadt</x:v>
      </x:c>
      <x:c r="C287" s="2" t="n">
        <x:v>185</x:v>
      </x:c>
      <x:c r="D287" s="2" t="str">
        <x:v>Nürnberg</x:v>
      </x:c>
      <x:c r="E287" s="8" t="n">
        <x:v>2884.748554913295</x:v>
      </x:c>
      <x:c r="F287" s="7" t="n">
        <x:v>11246</x:v>
      </x:c>
      <x:c r="G287" s="8" t="n">
        <x:f>E287*F287</x:f>
        <x:v>32441882.248554915</x:v>
      </x:c>
      <x:c r="H287" s="10" t="n">
        <x:f>F287/SUMIF($C$2:$C$403,C287,$F$2:$F$403)</x:f>
        <x:v>0.033121379281908704</x:v>
      </x:c>
      <x:c r="I287" s="2" t="str">
        <x:v>https://statistik.arbeitsagentur.de/Statistikdaten/Detail/201512/iiia6/beschaeftigung-entgelt-entgelt/entgelt-d-0-201512-xlsm.xlsm?__blob=publicationFile&amp;v=2</x:v>
      </x:c>
      <x:c r="J287" s="2" t="str">
        <x:v>https://statistik.arbeitsagentur.de/Statistikdaten/Detail/201512/iiia6/beschaeftigung-sozbe-svb-kreise-merkmale/svb-kreise-merkmale-d-0-201512-xlsx.xlsx?__blob=publicationFile&amp;v=1</x:v>
      </x:c>
      <x:c r="K287" s="2" t="str">
        <x:v>https://www.bbsr.bund.de/BBSR/DE/forschung/raumbeobachtung/Raumabgrenzungen/deutschland/regionen/arbeitsmarktregionen/arbeitsmarktregionen-2017.csv?__blob=publicationFile&amp;v=2</x:v>
      </x:c>
    </x:row>
    <x:row r="288" ht="24" customHeight="1">
      <x:c r="A288" s="6" t="str">
        <x:v>09571</x:v>
      </x:c>
      <x:c r="B288" s="2" t="str">
        <x:v>Ansbach</x:v>
      </x:c>
      <x:c r="C288" s="2" t="n">
        <x:v>187</x:v>
      </x:c>
      <x:c r="D288" s="2" t="str">
        <x:v>Ansbach</x:v>
      </x:c>
      <x:c r="E288" s="8" t="n">
        <x:v>2745.3266522210183</x:v>
      </x:c>
      <x:c r="F288" s="7" t="n">
        <x:v>43254</x:v>
      </x:c>
      <x:c r="G288" s="8" t="n">
        <x:f>E288*F288</x:f>
        <x:v>118746359.01516792</x:v>
      </x:c>
      <x:c r="H288" s="10" t="n">
        <x:f>F288/SUMIF($C$2:$C$403,C288,$F$2:$F$403)</x:f>
        <x:v>0.6979153220601523</x:v>
      </x:c>
      <x:c r="I288" s="2" t="str">
        <x:v>https://statistik.arbeitsagentur.de/Statistikdaten/Detail/201512/iiia6/beschaeftigung-entgelt-entgelt/entgelt-d-0-201512-xlsm.xlsm?__blob=publicationFile&amp;v=2</x:v>
      </x:c>
      <x:c r="J288" s="2" t="str">
        <x:v>https://statistik.arbeitsagentur.de/Statistikdaten/Detail/201512/iiia6/beschaeftigung-sozbe-svb-kreise-merkmale/svb-kreise-merkmale-d-0-201512-xlsx.xlsx?__blob=publicationFile&amp;v=1</x:v>
      </x:c>
      <x:c r="K288" s="2" t="str">
        <x:v>https://www.bbsr.bund.de/BBSR/DE/forschung/raumbeobachtung/Raumabgrenzungen/deutschland/regionen/arbeitsmarktregionen/arbeitsmarktregionen-2017.csv?__blob=publicationFile&amp;v=2</x:v>
      </x:c>
    </x:row>
    <x:row r="289" ht="24" customHeight="1">
      <x:c r="A289" s="6" t="str">
        <x:v>09572</x:v>
      </x:c>
      <x:c r="B289" s="2" t="str">
        <x:v>Erlangen-Höchstadt</x:v>
      </x:c>
      <x:c r="C289" s="2" t="n">
        <x:v>184</x:v>
      </x:c>
      <x:c r="D289" s="2" t="str">
        <x:v>Erlangen</x:v>
      </x:c>
      <x:c r="E289" s="8" t="n">
        <x:v>3712.448051948052</x:v>
      </x:c>
      <x:c r="F289" s="7" t="n">
        <x:v>36604</x:v>
      </x:c>
      <x:c r="G289" s="8" t="n">
        <x:f>E289*F289</x:f>
        <x:v>135890448.4935065</x:v>
      </x:c>
      <x:c r="H289" s="10" t="n">
        <x:f>F289/SUMIF($C$2:$C$403,C289,$F$2:$F$403)</x:f>
        <x:v>0.30062664772213965</x:v>
      </x:c>
      <x:c r="I289" s="2" t="str">
        <x:v>https://statistik.arbeitsagentur.de/Statistikdaten/Detail/201512/iiia6/beschaeftigung-entgelt-entgelt/entgelt-d-0-201512-xlsm.xlsm?__blob=publicationFile&amp;v=2</x:v>
      </x:c>
      <x:c r="J289" s="2" t="str">
        <x:v>https://statistik.arbeitsagentur.de/Statistikdaten/Detail/201512/iiia6/beschaeftigung-sozbe-svb-kreise-merkmale/svb-kreise-merkmale-d-0-201512-xlsx.xlsx?__blob=publicationFile&amp;v=1</x:v>
      </x:c>
      <x:c r="K289" s="2" t="str">
        <x:v>https://www.bbsr.bund.de/BBSR/DE/forschung/raumbeobachtung/Raumabgrenzungen/deutschland/regionen/arbeitsmarktregionen/arbeitsmarktregionen-2017.csv?__blob=publicationFile&amp;v=2</x:v>
      </x:c>
    </x:row>
    <x:row r="290" ht="24" customHeight="1">
      <x:c r="A290" s="6" t="str">
        <x:v>09573</x:v>
      </x:c>
      <x:c r="B290" s="2" t="str">
        <x:v>Fürth</x:v>
      </x:c>
      <x:c r="C290" s="2" t="n">
        <x:v>185</x:v>
      </x:c>
      <x:c r="D290" s="2" t="str">
        <x:v>Nürnberg</x:v>
      </x:c>
      <x:c r="E290" s="8" t="n">
        <x:v>2716.374524714829</x:v>
      </x:c>
      <x:c r="F290" s="7" t="n">
        <x:v>16302</x:v>
      </x:c>
      <x:c r="G290" s="8" t="n">
        <x:f>E290*F290</x:f>
        <x:v>44282337.50190114</x:v>
      </x:c>
      <x:c r="H290" s="10" t="n">
        <x:f>F290/SUMIF($C$2:$C$403,C290,$F$2:$F$403)</x:f>
        <x:v>0.04801215766082836</x:v>
      </x:c>
      <x:c r="I290" s="2" t="str">
        <x:v>https://statistik.arbeitsagentur.de/Statistikdaten/Detail/201512/iiia6/beschaeftigung-entgelt-entgelt/entgelt-d-0-201512-xlsm.xlsm?__blob=publicationFile&amp;v=2</x:v>
      </x:c>
      <x:c r="J290" s="2" t="str">
        <x:v>https://statistik.arbeitsagentur.de/Statistikdaten/Detail/201512/iiia6/beschaeftigung-sozbe-svb-kreise-merkmale/svb-kreise-merkmale-d-0-201512-xlsx.xlsx?__blob=publicationFile&amp;v=1</x:v>
      </x:c>
      <x:c r="K290" s="2" t="str">
        <x:v>https://www.bbsr.bund.de/BBSR/DE/forschung/raumbeobachtung/Raumabgrenzungen/deutschland/regionen/arbeitsmarktregionen/arbeitsmarktregionen-2017.csv?__blob=publicationFile&amp;v=2</x:v>
      </x:c>
    </x:row>
    <x:row r="291" ht="24" customHeight="1">
      <x:c r="A291" s="6" t="str">
        <x:v>09574</x:v>
      </x:c>
      <x:c r="B291" s="2" t="str">
        <x:v>Nürnberger Land</x:v>
      </x:c>
      <x:c r="C291" s="2" t="n">
        <x:v>185</x:v>
      </x:c>
      <x:c r="D291" s="2" t="str">
        <x:v>Nürnberg</x:v>
      </x:c>
      <x:c r="E291" s="8" t="n">
        <x:v>3022.520725388601</x:v>
      </x:c>
      <x:c r="F291" s="7" t="n">
        <x:v>37414</x:v>
      </x:c>
      <x:c r="G291" s="8" t="n">
        <x:f>E291*F291</x:f>
        <x:v>113084590.41968912</x:v>
      </x:c>
      <x:c r="H291" s="10" t="n">
        <x:f>F291/SUMIF($C$2:$C$403,C291,$F$2:$F$403)</x:f>
        <x:v>0.11019058193609571</x:v>
      </x:c>
      <x:c r="I291" s="2" t="str">
        <x:v>https://statistik.arbeitsagentur.de/Statistikdaten/Detail/201512/iiia6/beschaeftigung-entgelt-entgelt/entgelt-d-0-201512-xlsm.xlsm?__blob=publicationFile&amp;v=2</x:v>
      </x:c>
      <x:c r="J291" s="2" t="str">
        <x:v>https://statistik.arbeitsagentur.de/Statistikdaten/Detail/201512/iiia6/beschaeftigung-sozbe-svb-kreise-merkmale/svb-kreise-merkmale-d-0-201512-xlsx.xlsx?__blob=publicationFile&amp;v=1</x:v>
      </x:c>
      <x:c r="K291" s="2" t="str">
        <x:v>https://www.bbsr.bund.de/BBSR/DE/forschung/raumbeobachtung/Raumabgrenzungen/deutschland/regionen/arbeitsmarktregionen/arbeitsmarktregionen-2017.csv?__blob=publicationFile&amp;v=2</x:v>
      </x:c>
    </x:row>
    <x:row r="292" ht="24" customHeight="1">
      <x:c r="A292" s="6" t="str">
        <x:v>09575</x:v>
      </x:c>
      <x:c r="B292" s="2" t="str">
        <x:v>Neustadt a.d.Aisch-Bad Windsh.</x:v>
      </x:c>
      <x:c r="C292" s="2" t="n">
        <x:v>188</x:v>
      </x:c>
      <x:c r="D292" s="2" t="str">
        <x:v>Neustadt/Aisch</x:v>
      </x:c>
      <x:c r="E292" s="8" t="n">
        <x:v>2634.2239583333335</x:v>
      </x:c>
      <x:c r="F292" s="7" t="n">
        <x:v>21655</x:v>
      </x:c>
      <x:c r="G292" s="8" t="n">
        <x:f>E292*F292</x:f>
        <x:v>57044119.817708336</x:v>
      </x:c>
      <x:c r="H292" s="10" t="n">
        <x:f>F292/SUMIF($C$2:$C$403,C292,$F$2:$F$403)</x:f>
        <x:v>1</x:v>
      </x:c>
      <x:c r="I292" s="2" t="str">
        <x:v>https://statistik.arbeitsagentur.de/Statistikdaten/Detail/201512/iiia6/beschaeftigung-entgelt-entgelt/entgelt-d-0-201512-xlsm.xlsm?__blob=publicationFile&amp;v=2</x:v>
      </x:c>
      <x:c r="J292" s="2" t="str">
        <x:v>https://statistik.arbeitsagentur.de/Statistikdaten/Detail/201512/iiia6/beschaeftigung-sozbe-svb-kreise-merkmale/svb-kreise-merkmale-d-0-201512-xlsx.xlsx?__blob=publicationFile&amp;v=1</x:v>
      </x:c>
      <x:c r="K292" s="2" t="str">
        <x:v>https://www.bbsr.bund.de/BBSR/DE/forschung/raumbeobachtung/Raumabgrenzungen/deutschland/regionen/arbeitsmarktregionen/arbeitsmarktregionen-2017.csv?__blob=publicationFile&amp;v=2</x:v>
      </x:c>
    </x:row>
    <x:row r="293" ht="24" customHeight="1">
      <x:c r="A293" s="6" t="str">
        <x:v>09576</x:v>
      </x:c>
      <x:c r="B293" s="2" t="str">
        <x:v>Roth</x:v>
      </x:c>
      <x:c r="C293" s="2" t="n">
        <x:v>185</x:v>
      </x:c>
      <x:c r="D293" s="2" t="str">
        <x:v>Nürnberg</x:v>
      </x:c>
      <x:c r="E293" s="8" t="n">
        <x:v>2848.3061224489797</x:v>
      </x:c>
      <x:c r="F293" s="7" t="n">
        <x:v>25694</x:v>
      </x:c>
      <x:c r="G293" s="8" t="n">
        <x:f>E293*F293</x:f>
        <x:v>73184377.51020409</x:v>
      </x:c>
      <x:c r="H293" s="10" t="n">
        <x:f>F293/SUMIF($C$2:$C$403,C293,$F$2:$F$403)</x:f>
        <x:v>0.07567319218116328</x:v>
      </x:c>
      <x:c r="I293" s="2" t="str">
        <x:v>https://statistik.arbeitsagentur.de/Statistikdaten/Detail/201512/iiia6/beschaeftigung-entgelt-entgelt/entgelt-d-0-201512-xlsm.xlsm?__blob=publicationFile&amp;v=2</x:v>
      </x:c>
      <x:c r="J293" s="2" t="str">
        <x:v>https://statistik.arbeitsagentur.de/Statistikdaten/Detail/201512/iiia6/beschaeftigung-sozbe-svb-kreise-merkmale/svb-kreise-merkmale-d-0-201512-xlsx.xlsx?__blob=publicationFile&amp;v=1</x:v>
      </x:c>
      <x:c r="K293" s="2" t="str">
        <x:v>https://www.bbsr.bund.de/BBSR/DE/forschung/raumbeobachtung/Raumabgrenzungen/deutschland/regionen/arbeitsmarktregionen/arbeitsmarktregionen-2017.csv?__blob=publicationFile&amp;v=2</x:v>
      </x:c>
    </x:row>
    <x:row r="294" ht="24" customHeight="1">
      <x:c r="A294" s="6" t="str">
        <x:v>09577</x:v>
      </x:c>
      <x:c r="B294" s="2" t="str">
        <x:v>Weißenburg-Gunzenhausen</x:v>
      </x:c>
      <x:c r="C294" s="2" t="n">
        <x:v>186</x:v>
      </x:c>
      <x:c r="D294" s="2" t="str">
        <x:v>Weißenburg-Gunzenhausen</x:v>
      </x:c>
      <x:c r="E294" s="8" t="n">
        <x:v>2955.51269035533</x:v>
      </x:c>
      <x:c r="F294" s="7" t="n">
        <x:v>22411</x:v>
      </x:c>
      <x:c r="G294" s="8" t="n">
        <x:f>E294*F294</x:f>
        <x:v>66235994.9035533</x:v>
      </x:c>
      <x:c r="H294" s="10" t="n">
        <x:f>F294/SUMIF($C$2:$C$403,C294,$F$2:$F$403)</x:f>
        <x:v>1</x:v>
      </x:c>
      <x:c r="I294" s="2" t="str">
        <x:v>https://statistik.arbeitsagentur.de/Statistikdaten/Detail/201512/iiia6/beschaeftigung-entgelt-entgelt/entgelt-d-0-201512-xlsm.xlsm?__blob=publicationFile&amp;v=2</x:v>
      </x:c>
      <x:c r="J294" s="2" t="str">
        <x:v>https://statistik.arbeitsagentur.de/Statistikdaten/Detail/201512/iiia6/beschaeftigung-sozbe-svb-kreise-merkmale/svb-kreise-merkmale-d-0-201512-xlsx.xlsx?__blob=publicationFile&amp;v=1</x:v>
      </x:c>
      <x:c r="K294" s="2" t="str">
        <x:v>https://www.bbsr.bund.de/BBSR/DE/forschung/raumbeobachtung/Raumabgrenzungen/deutschland/regionen/arbeitsmarktregionen/arbeitsmarktregionen-2017.csv?__blob=publicationFile&amp;v=2</x:v>
      </x:c>
    </x:row>
    <x:row r="295" ht="24" customHeight="1">
      <x:c r="A295" s="6" t="str">
        <x:v>09661</x:v>
      </x:c>
      <x:c r="B295" s="2" t="str">
        <x:v>Aschaffenburg, Stadt</x:v>
      </x:c>
      <x:c r="C295" s="2" t="n">
        <x:v>196</x:v>
      </x:c>
      <x:c r="D295" s="2" t="str">
        <x:v>Aschaffenburg</x:v>
      </x:c>
      <x:c r="E295" s="8" t="n">
        <x:v>3202.016990291262</x:v>
      </x:c>
      <x:c r="F295" s="7" t="n">
        <x:v>33036</x:v>
      </x:c>
      <x:c r="G295" s="8" t="n">
        <x:f>E295*F295</x:f>
        <x:v>105781833.29126213</x:v>
      </x:c>
      <x:c r="H295" s="10" t="n">
        <x:f>F295/SUMIF($C$2:$C$403,C295,$F$2:$F$403)</x:f>
        <x:v>0.33274578729490445</x:v>
      </x:c>
      <x:c r="I295" s="2" t="str">
        <x:v>https://statistik.arbeitsagentur.de/Statistikdaten/Detail/201512/iiia6/beschaeftigung-entgelt-entgelt/entgelt-d-0-201512-xlsm.xlsm?__blob=publicationFile&amp;v=2</x:v>
      </x:c>
      <x:c r="J295" s="2" t="str">
        <x:v>https://statistik.arbeitsagentur.de/Statistikdaten/Detail/201512/iiia6/beschaeftigung-sozbe-svb-kreise-merkmale/svb-kreise-merkmale-d-0-201512-xlsx.xlsx?__blob=publicationFile&amp;v=1</x:v>
      </x:c>
      <x:c r="K295" s="2" t="str">
        <x:v>https://www.bbsr.bund.de/BBSR/DE/forschung/raumbeobachtung/Raumabgrenzungen/deutschland/regionen/arbeitsmarktregionen/arbeitsmarktregionen-2017.csv?__blob=publicationFile&amp;v=2</x:v>
      </x:c>
    </x:row>
    <x:row r="296" ht="24" customHeight="1">
      <x:c r="A296" s="6" t="str">
        <x:v>09662</x:v>
      </x:c>
      <x:c r="B296" s="2" t="str">
        <x:v>Schweinfurt, Stadt</x:v>
      </x:c>
      <x:c r="C296" s="2" t="n">
        <x:v>191</x:v>
      </x:c>
      <x:c r="D296" s="2" t="str">
        <x:v>Schweinfurt</x:v>
      </x:c>
      <x:c r="E296" s="8" t="n">
        <x:v>3839.576723016905</x:v>
      </x:c>
      <x:c r="F296" s="7" t="n">
        <x:v>42361</x:v>
      </x:c>
      <x:c r="G296" s="8" t="n">
        <x:f>E296*F296</x:f>
        <x:v>162648309.56371912</x:v>
      </x:c>
      <x:c r="H296" s="10" t="n">
        <x:f>F296/SUMIF($C$2:$C$403,C296,$F$2:$F$403)</x:f>
        <x:v>0.7167924464448882</x:v>
      </x:c>
      <x:c r="I296" s="2" t="str">
        <x:v>https://statistik.arbeitsagentur.de/Statistikdaten/Detail/201512/iiia6/beschaeftigung-entgelt-entgelt/entgelt-d-0-201512-xlsm.xlsm?__blob=publicationFile&amp;v=2</x:v>
      </x:c>
      <x:c r="J296" s="2" t="str">
        <x:v>https://statistik.arbeitsagentur.de/Statistikdaten/Detail/201512/iiia6/beschaeftigung-sozbe-svb-kreise-merkmale/svb-kreise-merkmale-d-0-201512-xlsx.xlsx?__blob=publicationFile&amp;v=1</x:v>
      </x:c>
      <x:c r="K296" s="2" t="str">
        <x:v>https://www.bbsr.bund.de/BBSR/DE/forschung/raumbeobachtung/Raumabgrenzungen/deutschland/regionen/arbeitsmarktregionen/arbeitsmarktregionen-2017.csv?__blob=publicationFile&amp;v=2</x:v>
      </x:c>
    </x:row>
    <x:row r="297" ht="24" customHeight="1">
      <x:c r="A297" s="6" t="str">
        <x:v>09663</x:v>
      </x:c>
      <x:c r="B297" s="2" t="str">
        <x:v>Würzburg, Stadt</x:v>
      </x:c>
      <x:c r="C297" s="2" t="n">
        <x:v>190</x:v>
      </x:c>
      <x:c r="D297" s="2" t="str">
        <x:v>Würzburg</x:v>
      </x:c>
      <x:c r="E297" s="8" t="n">
        <x:v>3190.5232018561487</x:v>
      </x:c>
      <x:c r="F297" s="7" t="n">
        <x:v>57474</x:v>
      </x:c>
      <x:c r="G297" s="8" t="n">
        <x:f>E297*F297</x:f>
        <x:v>183372130.5034803</x:v>
      </x:c>
      <x:c r="H297" s="10" t="n">
        <x:f>F297/SUMIF($C$2:$C$403,C297,$F$2:$F$403)</x:f>
        <x:v>0.6822001709239388</x:v>
      </x:c>
      <x:c r="I297" s="2" t="str">
        <x:v>https://statistik.arbeitsagentur.de/Statistikdaten/Detail/201512/iiia6/beschaeftigung-entgelt-entgelt/entgelt-d-0-201512-xlsm.xlsm?__blob=publicationFile&amp;v=2</x:v>
      </x:c>
      <x:c r="J297" s="2" t="str">
        <x:v>https://statistik.arbeitsagentur.de/Statistikdaten/Detail/201512/iiia6/beschaeftigung-sozbe-svb-kreise-merkmale/svb-kreise-merkmale-d-0-201512-xlsx.xlsx?__blob=publicationFile&amp;v=1</x:v>
      </x:c>
      <x:c r="K297" s="2" t="str">
        <x:v>https://www.bbsr.bund.de/BBSR/DE/forschung/raumbeobachtung/Raumabgrenzungen/deutschland/regionen/arbeitsmarktregionen/arbeitsmarktregionen-2017.csv?__blob=publicationFile&amp;v=2</x:v>
      </x:c>
    </x:row>
    <x:row r="298" ht="24" customHeight="1">
      <x:c r="A298" s="6" t="str">
        <x:v>09671</x:v>
      </x:c>
      <x:c r="B298" s="2" t="str">
        <x:v>Aschaffenburg</x:v>
      </x:c>
      <x:c r="C298" s="2" t="n">
        <x:v>196</x:v>
      </x:c>
      <x:c r="D298" s="2" t="str">
        <x:v>Aschaffenburg</x:v>
      </x:c>
      <x:c r="E298" s="8" t="n">
        <x:v>2994.9394213381556</x:v>
      </x:c>
      <x:c r="F298" s="7" t="n">
        <x:v>36132</x:v>
      </x:c>
      <x:c r="G298" s="8" t="n">
        <x:f>E298*F298</x:f>
        <x:v>108213151.17179024</x:v>
      </x:c>
      <x:c r="H298" s="10" t="n">
        <x:f>F298/SUMIF($C$2:$C$403,C298,$F$2:$F$403)</x:f>
        <x:v>0.3639293736087749</x:v>
      </x:c>
      <x:c r="I298" s="2" t="str">
        <x:v>https://statistik.arbeitsagentur.de/Statistikdaten/Detail/201512/iiia6/beschaeftigung-entgelt-entgelt/entgelt-d-0-201512-xlsm.xlsm?__blob=publicationFile&amp;v=2</x:v>
      </x:c>
      <x:c r="J298" s="2" t="str">
        <x:v>https://statistik.arbeitsagentur.de/Statistikdaten/Detail/201512/iiia6/beschaeftigung-sozbe-svb-kreise-merkmale/svb-kreise-merkmale-d-0-201512-xlsx.xlsx?__blob=publicationFile&amp;v=1</x:v>
      </x:c>
      <x:c r="K298" s="2" t="str">
        <x:v>https://www.bbsr.bund.de/BBSR/DE/forschung/raumbeobachtung/Raumabgrenzungen/deutschland/regionen/arbeitsmarktregionen/arbeitsmarktregionen-2017.csv?__blob=publicationFile&amp;v=2</x:v>
      </x:c>
    </x:row>
    <x:row r="299" ht="24" customHeight="1">
      <x:c r="A299" s="6" t="str">
        <x:v>09672</x:v>
      </x:c>
      <x:c r="B299" s="2" t="str">
        <x:v>Bad Kissingen</x:v>
      </x:c>
      <x:c r="C299" s="2" t="n">
        <x:v>194</x:v>
      </x:c>
      <x:c r="D299" s="2" t="str">
        <x:v>Bad Kissingen</x:v>
      </x:c>
      <x:c r="E299" s="8" t="n">
        <x:v>2783.379818594104</x:v>
      </x:c>
      <x:c r="F299" s="7" t="n">
        <x:v>22756</x:v>
      </x:c>
      <x:c r="G299" s="8" t="n">
        <x:f>E299*F299</x:f>
        <x:v>63338591.151927434</x:v>
      </x:c>
      <x:c r="H299" s="10" t="n">
        <x:f>F299/SUMIF($C$2:$C$403,C299,$F$2:$F$403)</x:f>
        <x:v>1</x:v>
      </x:c>
      <x:c r="I299" s="2" t="str">
        <x:v>https://statistik.arbeitsagentur.de/Statistikdaten/Detail/201512/iiia6/beschaeftigung-entgelt-entgelt/entgelt-d-0-201512-xlsm.xlsm?__blob=publicationFile&amp;v=2</x:v>
      </x:c>
      <x:c r="J299" s="2" t="str">
        <x:v>https://statistik.arbeitsagentur.de/Statistikdaten/Detail/201512/iiia6/beschaeftigung-sozbe-svb-kreise-merkmale/svb-kreise-merkmale-d-0-201512-xlsx.xlsx?__blob=publicationFile&amp;v=1</x:v>
      </x:c>
      <x:c r="K299" s="2" t="str">
        <x:v>https://www.bbsr.bund.de/BBSR/DE/forschung/raumbeobachtung/Raumabgrenzungen/deutschland/regionen/arbeitsmarktregionen/arbeitsmarktregionen-2017.csv?__blob=publicationFile&amp;v=2</x:v>
      </x:c>
    </x:row>
    <x:row r="300" ht="24" customHeight="1">
      <x:c r="A300" s="6" t="str">
        <x:v>09673</x:v>
      </x:c>
      <x:c r="B300" s="2" t="str">
        <x:v>Rhön-Grabfeld</x:v>
      </x:c>
      <x:c r="C300" s="2" t="n">
        <x:v>193</x:v>
      </x:c>
      <x:c r="D300" s="2" t="str">
        <x:v>Bad Neustadt/Saale</x:v>
      </x:c>
      <x:c r="E300" s="8" t="n">
        <x:v>2974.3786279683377</x:v>
      </x:c>
      <x:c r="F300" s="7" t="n">
        <x:v>22090</x:v>
      </x:c>
      <x:c r="G300" s="8" t="n">
        <x:f>E300*F300</x:f>
        <x:v>65704023.89182058</x:v>
      </x:c>
      <x:c r="H300" s="10" t="n">
        <x:f>F300/SUMIF($C$2:$C$403,C300,$F$2:$F$403)</x:f>
        <x:v>1</x:v>
      </x:c>
      <x:c r="I300" s="2" t="str">
        <x:v>https://statistik.arbeitsagentur.de/Statistikdaten/Detail/201512/iiia6/beschaeftigung-entgelt-entgelt/entgelt-d-0-201512-xlsm.xlsm?__blob=publicationFile&amp;v=2</x:v>
      </x:c>
      <x:c r="J300" s="2" t="str">
        <x:v>https://statistik.arbeitsagentur.de/Statistikdaten/Detail/201512/iiia6/beschaeftigung-sozbe-svb-kreise-merkmale/svb-kreise-merkmale-d-0-201512-xlsx.xlsx?__blob=publicationFile&amp;v=1</x:v>
      </x:c>
      <x:c r="K300" s="2" t="str">
        <x:v>https://www.bbsr.bund.de/BBSR/DE/forschung/raumbeobachtung/Raumabgrenzungen/deutschland/regionen/arbeitsmarktregionen/arbeitsmarktregionen-2017.csv?__blob=publicationFile&amp;v=2</x:v>
      </x:c>
    </x:row>
    <x:row r="301" ht="24" customHeight="1">
      <x:c r="A301" s="6" t="str">
        <x:v>09674</x:v>
      </x:c>
      <x:c r="B301" s="2" t="str">
        <x:v>Haßberge</x:v>
      </x:c>
      <x:c r="C301" s="2" t="n">
        <x:v>192</x:v>
      </x:c>
      <x:c r="D301" s="2" t="str">
        <x:v>Haßfurt</x:v>
      </x:c>
      <x:c r="E301" s="8" t="n">
        <x:v>2980.7380952380954</x:v>
      </x:c>
      <x:c r="F301" s="7" t="n">
        <x:v>19302</x:v>
      </x:c>
      <x:c r="G301" s="8" t="n">
        <x:f>E301*F301</x:f>
        <x:v>57534206.71428572</x:v>
      </x:c>
      <x:c r="H301" s="10" t="n">
        <x:f>F301/SUMIF($C$2:$C$403,C301,$F$2:$F$403)</x:f>
        <x:v>1</x:v>
      </x:c>
      <x:c r="I301" s="2" t="str">
        <x:v>https://statistik.arbeitsagentur.de/Statistikdaten/Detail/201512/iiia6/beschaeftigung-entgelt-entgelt/entgelt-d-0-201512-xlsm.xlsm?__blob=publicationFile&amp;v=2</x:v>
      </x:c>
      <x:c r="J301" s="2" t="str">
        <x:v>https://statistik.arbeitsagentur.de/Statistikdaten/Detail/201512/iiia6/beschaeftigung-sozbe-svb-kreise-merkmale/svb-kreise-merkmale-d-0-201512-xlsx.xlsx?__blob=publicationFile&amp;v=1</x:v>
      </x:c>
      <x:c r="K301" s="2" t="str">
        <x:v>https://www.bbsr.bund.de/BBSR/DE/forschung/raumbeobachtung/Raumabgrenzungen/deutschland/regionen/arbeitsmarktregionen/arbeitsmarktregionen-2017.csv?__blob=publicationFile&amp;v=2</x:v>
      </x:c>
    </x:row>
    <x:row r="302" ht="24" customHeight="1">
      <x:c r="A302" s="6" t="str">
        <x:v>09675</x:v>
      </x:c>
      <x:c r="B302" s="2" t="str">
        <x:v>Kitzingen</x:v>
      </x:c>
      <x:c r="C302" s="2" t="n">
        <x:v>189</x:v>
      </x:c>
      <x:c r="D302" s="2" t="str">
        <x:v>Kitzingen</x:v>
      </x:c>
      <x:c r="E302" s="8" t="n">
        <x:v>2944.194362017804</x:v>
      </x:c>
      <x:c r="F302" s="7" t="n">
        <x:v>21899</x:v>
      </x:c>
      <x:c r="G302" s="8" t="n">
        <x:f>E302*F302</x:f>
        <x:v>64474912.33382789</x:v>
      </x:c>
      <x:c r="H302" s="10" t="n">
        <x:f>F302/SUMIF($C$2:$C$403,C302,$F$2:$F$403)</x:f>
        <x:v>1</x:v>
      </x:c>
      <x:c r="I302" s="2" t="str">
        <x:v>https://statistik.arbeitsagentur.de/Statistikdaten/Detail/201512/iiia6/beschaeftigung-entgelt-entgelt/entgelt-d-0-201512-xlsm.xlsm?__blob=publicationFile&amp;v=2</x:v>
      </x:c>
      <x:c r="J302" s="2" t="str">
        <x:v>https://statistik.arbeitsagentur.de/Statistikdaten/Detail/201512/iiia6/beschaeftigung-sozbe-svb-kreise-merkmale/svb-kreise-merkmale-d-0-201512-xlsx.xlsx?__blob=publicationFile&amp;v=1</x:v>
      </x:c>
      <x:c r="K302" s="2" t="str">
        <x:v>https://www.bbsr.bund.de/BBSR/DE/forschung/raumbeobachtung/Raumabgrenzungen/deutschland/regionen/arbeitsmarktregionen/arbeitsmarktregionen-2017.csv?__blob=publicationFile&amp;v=2</x:v>
      </x:c>
    </x:row>
    <x:row r="303" ht="24" customHeight="1">
      <x:c r="A303" s="6" t="str">
        <x:v>09676</x:v>
      </x:c>
      <x:c r="B303" s="2" t="str">
        <x:v>Miltenberg</x:v>
      </x:c>
      <x:c r="C303" s="2" t="n">
        <x:v>196</x:v>
      </x:c>
      <x:c r="D303" s="2" t="str">
        <x:v>Aschaffenburg</x:v>
      </x:c>
      <x:c r="E303" s="8" t="n">
        <x:v>3006.1095406360423</x:v>
      </x:c>
      <x:c r="F303" s="7" t="n">
        <x:v>30115</x:v>
      </x:c>
      <x:c r="G303" s="8" t="n">
        <x:f>E303*F303</x:f>
        <x:v>90528988.8162544</x:v>
      </x:c>
      <x:c r="H303" s="10" t="n">
        <x:f>F303/SUMIF($C$2:$C$403,C303,$F$2:$F$403)</x:f>
        <x:v>0.30332483909632063</x:v>
      </x:c>
      <x:c r="I303" s="2" t="str">
        <x:v>https://statistik.arbeitsagentur.de/Statistikdaten/Detail/201512/iiia6/beschaeftigung-entgelt-entgelt/entgelt-d-0-201512-xlsm.xlsm?__blob=publicationFile&amp;v=2</x:v>
      </x:c>
      <x:c r="J303" s="2" t="str">
        <x:v>https://statistik.arbeitsagentur.de/Statistikdaten/Detail/201512/iiia6/beschaeftigung-sozbe-svb-kreise-merkmale/svb-kreise-merkmale-d-0-201512-xlsx.xlsx?__blob=publicationFile&amp;v=1</x:v>
      </x:c>
      <x:c r="K303" s="2" t="str">
        <x:v>https://www.bbsr.bund.de/BBSR/DE/forschung/raumbeobachtung/Raumabgrenzungen/deutschland/regionen/arbeitsmarktregionen/arbeitsmarktregionen-2017.csv?__blob=publicationFile&amp;v=2</x:v>
      </x:c>
    </x:row>
    <x:row r="304" ht="24" customHeight="1">
      <x:c r="A304" s="6" t="str">
        <x:v>09677</x:v>
      </x:c>
      <x:c r="B304" s="2" t="str">
        <x:v>Main-Spessart</x:v>
      </x:c>
      <x:c r="C304" s="2" t="n">
        <x:v>195</x:v>
      </x:c>
      <x:c r="D304" s="2" t="str">
        <x:v>Lohr am Main</x:v>
      </x:c>
      <x:c r="E304" s="8" t="n">
        <x:v>3292.4938016528927</x:v>
      </x:c>
      <x:c r="F304" s="7" t="n">
        <x:v>33313</x:v>
      </x:c>
      <x:c r="G304" s="8" t="n">
        <x:f>E304*F304</x:f>
        <x:v>109682846.01446281</x:v>
      </x:c>
      <x:c r="H304" s="10" t="n">
        <x:f>F304/SUMIF($C$2:$C$403,C304,$F$2:$F$403)</x:f>
        <x:v>1</x:v>
      </x:c>
      <x:c r="I304" s="2" t="str">
        <x:v>https://statistik.arbeitsagentur.de/Statistikdaten/Detail/201512/iiia6/beschaeftigung-entgelt-entgelt/entgelt-d-0-201512-xlsm.xlsm?__blob=publicationFile&amp;v=2</x:v>
      </x:c>
      <x:c r="J304" s="2" t="str">
        <x:v>https://statistik.arbeitsagentur.de/Statistikdaten/Detail/201512/iiia6/beschaeftigung-sozbe-svb-kreise-merkmale/svb-kreise-merkmale-d-0-201512-xlsx.xlsx?__blob=publicationFile&amp;v=1</x:v>
      </x:c>
      <x:c r="K304" s="2" t="str">
        <x:v>https://www.bbsr.bund.de/BBSR/DE/forschung/raumbeobachtung/Raumabgrenzungen/deutschland/regionen/arbeitsmarktregionen/arbeitsmarktregionen-2017.csv?__blob=publicationFile&amp;v=2</x:v>
      </x:c>
    </x:row>
    <x:row r="305" ht="24" customHeight="1">
      <x:c r="A305" s="6" t="str">
        <x:v>09678</x:v>
      </x:c>
      <x:c r="B305" s="2" t="str">
        <x:v>Schweinfurt</x:v>
      </x:c>
      <x:c r="C305" s="2" t="n">
        <x:v>191</x:v>
      </x:c>
      <x:c r="D305" s="2" t="str">
        <x:v>Schweinfurt</x:v>
      </x:c>
      <x:c r="E305" s="8" t="n">
        <x:v>2644.5233236151603</x:v>
      </x:c>
      <x:c r="F305" s="7" t="n">
        <x:v>16737</x:v>
      </x:c>
      <x:c r="G305" s="8" t="n">
        <x:f>E305*F305</x:f>
        <x:v>44261386.867346935</x:v>
      </x:c>
      <x:c r="H305" s="10" t="n">
        <x:f>F305/SUMIF($C$2:$C$403,C305,$F$2:$F$403)</x:f>
        <x:v>0.28320755355511185</x:v>
      </x:c>
      <x:c r="I305" s="2" t="str">
        <x:v>https://statistik.arbeitsagentur.de/Statistikdaten/Detail/201512/iiia6/beschaeftigung-entgelt-entgelt/entgelt-d-0-201512-xlsm.xlsm?__blob=publicationFile&amp;v=2</x:v>
      </x:c>
      <x:c r="J305" s="2" t="str">
        <x:v>https://statistik.arbeitsagentur.de/Statistikdaten/Detail/201512/iiia6/beschaeftigung-sozbe-svb-kreise-merkmale/svb-kreise-merkmale-d-0-201512-xlsx.xlsx?__blob=publicationFile&amp;v=1</x:v>
      </x:c>
      <x:c r="K305" s="2" t="str">
        <x:v>https://www.bbsr.bund.de/BBSR/DE/forschung/raumbeobachtung/Raumabgrenzungen/deutschland/regionen/arbeitsmarktregionen/arbeitsmarktregionen-2017.csv?__blob=publicationFile&amp;v=2</x:v>
      </x:c>
    </x:row>
    <x:row r="306" ht="24" customHeight="1">
      <x:c r="A306" s="6" t="str">
        <x:v>09679</x:v>
      </x:c>
      <x:c r="B306" s="2" t="str">
        <x:v>Würzburg</x:v>
      </x:c>
      <x:c r="C306" s="2" t="n">
        <x:v>190</x:v>
      </x:c>
      <x:c r="D306" s="2" t="str">
        <x:v>Würzburg</x:v>
      </x:c>
      <x:c r="E306" s="8" t="n">
        <x:v>2860.021158129176</x:v>
      </x:c>
      <x:c r="F306" s="7" t="n">
        <x:v>26774</x:v>
      </x:c>
      <x:c r="G306" s="8" t="n">
        <x:f>E306*F306</x:f>
        <x:v>76574206.48775056</x:v>
      </x:c>
      <x:c r="H306" s="10" t="n">
        <x:f>F306/SUMIF($C$2:$C$403,C306,$F$2:$F$403)</x:f>
        <x:v>0.31779982907606114</x:v>
      </x:c>
      <x:c r="I306" s="2" t="str">
        <x:v>https://statistik.arbeitsagentur.de/Statistikdaten/Detail/201512/iiia6/beschaeftigung-entgelt-entgelt/entgelt-d-0-201512-xlsm.xlsm?__blob=publicationFile&amp;v=2</x:v>
      </x:c>
      <x:c r="J306" s="2" t="str">
        <x:v>https://statistik.arbeitsagentur.de/Statistikdaten/Detail/201512/iiia6/beschaeftigung-sozbe-svb-kreise-merkmale/svb-kreise-merkmale-d-0-201512-xlsx.xlsx?__blob=publicationFile&amp;v=1</x:v>
      </x:c>
      <x:c r="K306" s="2" t="str">
        <x:v>https://www.bbsr.bund.de/BBSR/DE/forschung/raumbeobachtung/Raumabgrenzungen/deutschland/regionen/arbeitsmarktregionen/arbeitsmarktregionen-2017.csv?__blob=publicationFile&amp;v=2</x:v>
      </x:c>
    </x:row>
    <x:row r="307" ht="24" customHeight="1">
      <x:c r="A307" s="6" t="str">
        <x:v>09761</x:v>
      </x:c>
      <x:c r="B307" s="2" t="str">
        <x:v>Augsburg, Stadt</x:v>
      </x:c>
      <x:c r="C307" s="2" t="n">
        <x:v>200</x:v>
      </x:c>
      <x:c r="D307" s="2" t="str">
        <x:v>Augsburg</x:v>
      </x:c>
      <x:c r="E307" s="8" t="n">
        <x:v>3394.695189639223</x:v>
      </x:c>
      <x:c r="F307" s="7" t="n">
        <x:v>100245</x:v>
      </x:c>
      <x:c r="G307" s="8" t="n">
        <x:f>E307*F307</x:f>
        <x:v>340301219.2853839</x:v>
      </x:c>
      <x:c r="H307" s="10" t="n">
        <x:f>F307/SUMIF($C$2:$C$403,C307,$F$2:$F$403)</x:f>
        <x:v>0.5713072618057059</x:v>
      </x:c>
      <x:c r="I307" s="2" t="str">
        <x:v>https://statistik.arbeitsagentur.de/Statistikdaten/Detail/201512/iiia6/beschaeftigung-entgelt-entgelt/entgelt-d-0-201512-xlsm.xlsm?__blob=publicationFile&amp;v=2</x:v>
      </x:c>
      <x:c r="J307" s="2" t="str">
        <x:v>https://statistik.arbeitsagentur.de/Statistikdaten/Detail/201512/iiia6/beschaeftigung-sozbe-svb-kreise-merkmale/svb-kreise-merkmale-d-0-201512-xlsx.xlsx?__blob=publicationFile&amp;v=1</x:v>
      </x:c>
      <x:c r="K307" s="2" t="str">
        <x:v>https://www.bbsr.bund.de/BBSR/DE/forschung/raumbeobachtung/Raumabgrenzungen/deutschland/regionen/arbeitsmarktregionen/arbeitsmarktregionen-2017.csv?__blob=publicationFile&amp;v=2</x:v>
      </x:c>
    </x:row>
    <x:row r="308" ht="24" customHeight="1">
      <x:c r="A308" s="6" t="str">
        <x:v>09762</x:v>
      </x:c>
      <x:c r="B308" s="2" t="str">
        <x:v>Kaufbeuren, Stadt</x:v>
      </x:c>
      <x:c r="C308" s="2" t="n">
        <x:v>202</x:v>
      </x:c>
      <x:c r="D308" s="2" t="str">
        <x:v>Kaufbeuren</x:v>
      </x:c>
      <x:c r="E308" s="8" t="n">
        <x:v>2920.8846153846152</x:v>
      </x:c>
      <x:c r="F308" s="7" t="n">
        <x:v>12035</x:v>
      </x:c>
      <x:c r="G308" s="8" t="n">
        <x:f>E308*F308</x:f>
        <x:v>35152846.34615385</x:v>
      </x:c>
      <x:c r="H308" s="10" t="n">
        <x:f>F308/SUMIF($C$2:$C$403,C308,$F$2:$F$403)</x:f>
        <x:v>0.26185813751087905</x:v>
      </x:c>
      <x:c r="I308" s="2" t="str">
        <x:v>https://statistik.arbeitsagentur.de/Statistikdaten/Detail/201512/iiia6/beschaeftigung-entgelt-entgelt/entgelt-d-0-201512-xlsm.xlsm?__blob=publicationFile&amp;v=2</x:v>
      </x:c>
      <x:c r="J308" s="2" t="str">
        <x:v>https://statistik.arbeitsagentur.de/Statistikdaten/Detail/201512/iiia6/beschaeftigung-sozbe-svb-kreise-merkmale/svb-kreise-merkmale-d-0-201512-xlsx.xlsx?__blob=publicationFile&amp;v=1</x:v>
      </x:c>
      <x:c r="K308" s="2" t="str">
        <x:v>https://www.bbsr.bund.de/BBSR/DE/forschung/raumbeobachtung/Raumabgrenzungen/deutschland/regionen/arbeitsmarktregionen/arbeitsmarktregionen-2017.csv?__blob=publicationFile&amp;v=2</x:v>
      </x:c>
    </x:row>
    <x:row r="309" ht="24" customHeight="1">
      <x:c r="A309" s="6" t="str">
        <x:v>09763</x:v>
      </x:c>
      <x:c r="B309" s="2" t="str">
        <x:v>Kempten (Allgäu), Stadt</x:v>
      </x:c>
      <x:c r="C309" s="2" t="n">
        <x:v>203</x:v>
      </x:c>
      <x:c r="D309" s="2" t="str">
        <x:v>Kempten</x:v>
      </x:c>
      <x:c r="E309" s="8" t="n">
        <x:v>3045.42385786802</x:v>
      </x:c>
      <x:c r="F309" s="7" t="n">
        <x:v>26057</x:v>
      </x:c>
      <x:c r="G309" s="8" t="n">
        <x:f>E309*F309</x:f>
        <x:v>79354609.464467</x:v>
      </x:c>
      <x:c r="H309" s="10" t="n">
        <x:f>F309/SUMIF($C$2:$C$403,C309,$F$2:$F$403)</x:f>
        <x:v>0.4248100687991131</x:v>
      </x:c>
      <x:c r="I309" s="2" t="str">
        <x:v>https://statistik.arbeitsagentur.de/Statistikdaten/Detail/201512/iiia6/beschaeftigung-entgelt-entgelt/entgelt-d-0-201512-xlsm.xlsm?__blob=publicationFile&amp;v=2</x:v>
      </x:c>
      <x:c r="J309" s="2" t="str">
        <x:v>https://statistik.arbeitsagentur.de/Statistikdaten/Detail/201512/iiia6/beschaeftigung-sozbe-svb-kreise-merkmale/svb-kreise-merkmale-d-0-201512-xlsx.xlsx?__blob=publicationFile&amp;v=1</x:v>
      </x:c>
      <x:c r="K309" s="2" t="str">
        <x:v>https://www.bbsr.bund.de/BBSR/DE/forschung/raumbeobachtung/Raumabgrenzungen/deutschland/regionen/arbeitsmarktregionen/arbeitsmarktregionen-2017.csv?__blob=publicationFile&amp;v=2</x:v>
      </x:c>
    </x:row>
    <x:row r="310" ht="24" customHeight="1">
      <x:c r="A310" s="6" t="str">
        <x:v>09764</x:v>
      </x:c>
      <x:c r="B310" s="2" t="str">
        <x:v>Memmingen, Stadt</x:v>
      </x:c>
      <x:c r="C310" s="2" t="n">
        <x:v>201</x:v>
      </x:c>
      <x:c r="D310" s="2" t="str">
        <x:v>Memmingen</x:v>
      </x:c>
      <x:c r="E310" s="8" t="n">
        <x:v>3145.514662756598</x:v>
      </x:c>
      <x:c r="F310" s="7" t="n">
        <x:v>22483</x:v>
      </x:c>
      <x:c r="G310" s="8" t="n">
        <x:f>E310*F310</x:f>
        <x:v>70720606.16275659</x:v>
      </x:c>
      <x:c r="H310" s="10" t="n">
        <x:f>F310/SUMIF($C$2:$C$403,C310,$F$2:$F$403)</x:f>
        <x:v>0.3889388644777359</x:v>
      </x:c>
      <x:c r="I310" s="2" t="str">
        <x:v>https://statistik.arbeitsagentur.de/Statistikdaten/Detail/201512/iiia6/beschaeftigung-entgelt-entgelt/entgelt-d-0-201512-xlsm.xlsm?__blob=publicationFile&amp;v=2</x:v>
      </x:c>
      <x:c r="J310" s="2" t="str">
        <x:v>https://statistik.arbeitsagentur.de/Statistikdaten/Detail/201512/iiia6/beschaeftigung-sozbe-svb-kreise-merkmale/svb-kreise-merkmale-d-0-201512-xlsx.xlsx?__blob=publicationFile&amp;v=1</x:v>
      </x:c>
      <x:c r="K310" s="2" t="str">
        <x:v>https://www.bbsr.bund.de/BBSR/DE/forschung/raumbeobachtung/Raumabgrenzungen/deutschland/regionen/arbeitsmarktregionen/arbeitsmarktregionen-2017.csv?__blob=publicationFile&amp;v=2</x:v>
      </x:c>
    </x:row>
    <x:row r="311" ht="24" customHeight="1">
      <x:c r="A311" s="6" t="str">
        <x:v>09771</x:v>
      </x:c>
      <x:c r="B311" s="2" t="str">
        <x:v>Aichach-Friedberg</x:v>
      </x:c>
      <x:c r="C311" s="2" t="n">
        <x:v>200</x:v>
      </x:c>
      <x:c r="D311" s="2" t="str">
        <x:v>Augsburg</x:v>
      </x:c>
      <x:c r="E311" s="8" t="n">
        <x:v>2876.6827956989246</x:v>
      </x:c>
      <x:c r="F311" s="7" t="n">
        <x:v>24037</x:v>
      </x:c>
      <x:c r="G311" s="8" t="n">
        <x:f>E311*F311</x:f>
        <x:v>69146824.36021505</x:v>
      </x:c>
      <x:c r="H311" s="10" t="n">
        <x:f>F311/SUMIF($C$2:$C$403,C311,$F$2:$F$403)</x:f>
        <x:v>0.13698950223975015</x:v>
      </x:c>
      <x:c r="I311" s="2" t="str">
        <x:v>https://statistik.arbeitsagentur.de/Statistikdaten/Detail/201512/iiia6/beschaeftigung-entgelt-entgelt/entgelt-d-0-201512-xlsm.xlsm?__blob=publicationFile&amp;v=2</x:v>
      </x:c>
      <x:c r="J311" s="2" t="str">
        <x:v>https://statistik.arbeitsagentur.de/Statistikdaten/Detail/201512/iiia6/beschaeftigung-sozbe-svb-kreise-merkmale/svb-kreise-merkmale-d-0-201512-xlsx.xlsx?__blob=publicationFile&amp;v=1</x:v>
      </x:c>
      <x:c r="K311" s="2" t="str">
        <x:v>https://www.bbsr.bund.de/BBSR/DE/forschung/raumbeobachtung/Raumabgrenzungen/deutschland/regionen/arbeitsmarktregionen/arbeitsmarktregionen-2017.csv?__blob=publicationFile&amp;v=2</x:v>
      </x:c>
    </x:row>
    <x:row r="312" ht="24" customHeight="1">
      <x:c r="A312" s="6" t="str">
        <x:v>09772</x:v>
      </x:c>
      <x:c r="B312" s="2" t="str">
        <x:v>Augsburg</x:v>
      </x:c>
      <x:c r="C312" s="2" t="n">
        <x:v>200</x:v>
      </x:c>
      <x:c r="D312" s="2" t="str">
        <x:v>Augsburg</x:v>
      </x:c>
      <x:c r="E312" s="8" t="n">
        <x:v>2841.605499438833</x:v>
      </x:c>
      <x:c r="F312" s="7" t="n">
        <x:v>51184</x:v>
      </x:c>
      <x:c r="G312" s="8" t="n">
        <x:f>E312*F312</x:f>
        <x:v>145444735.8832772</x:v>
      </x:c>
      <x:c r="H312" s="10" t="n">
        <x:f>F312/SUMIF($C$2:$C$403,C312,$F$2:$F$403)</x:f>
        <x:v>0.2917032359545439</x:v>
      </x:c>
      <x:c r="I312" s="2" t="str">
        <x:v>https://statistik.arbeitsagentur.de/Statistikdaten/Detail/201512/iiia6/beschaeftigung-entgelt-entgelt/entgelt-d-0-201512-xlsm.xlsm?__blob=publicationFile&amp;v=2</x:v>
      </x:c>
      <x:c r="J312" s="2" t="str">
        <x:v>https://statistik.arbeitsagentur.de/Statistikdaten/Detail/201512/iiia6/beschaeftigung-sozbe-svb-kreise-merkmale/svb-kreise-merkmale-d-0-201512-xlsx.xlsx?__blob=publicationFile&amp;v=1</x:v>
      </x:c>
      <x:c r="K312" s="2" t="str">
        <x:v>https://www.bbsr.bund.de/BBSR/DE/forschung/raumbeobachtung/Raumabgrenzungen/deutschland/regionen/arbeitsmarktregionen/arbeitsmarktregionen-2017.csv?__blob=publicationFile&amp;v=2</x:v>
      </x:c>
    </x:row>
    <x:row r="313" ht="24" customHeight="1">
      <x:c r="A313" s="6" t="str">
        <x:v>09773</x:v>
      </x:c>
      <x:c r="B313" s="2" t="str">
        <x:v>Dillingen a.d.Donau</x:v>
      </x:c>
      <x:c r="C313" s="2" t="n">
        <x:v>198</x:v>
      </x:c>
      <x:c r="D313" s="2" t="str">
        <x:v>Dillingen</x:v>
      </x:c>
      <x:c r="E313" s="8" t="n">
        <x:v>3039.5161725067387</x:v>
      </x:c>
      <x:c r="F313" s="7" t="n">
        <x:v>22954</x:v>
      </x:c>
      <x:c r="G313" s="8" t="n">
        <x:f>E313*F313</x:f>
        <x:v>69769054.22371969</x:v>
      </x:c>
      <x:c r="H313" s="10" t="n">
        <x:f>F313/SUMIF($C$2:$C$403,C313,$F$2:$F$403)</x:f>
        <x:v>1</x:v>
      </x:c>
      <x:c r="I313" s="2" t="str">
        <x:v>https://statistik.arbeitsagentur.de/Statistikdaten/Detail/201512/iiia6/beschaeftigung-entgelt-entgelt/entgelt-d-0-201512-xlsm.xlsm?__blob=publicationFile&amp;v=2</x:v>
      </x:c>
      <x:c r="J313" s="2" t="str">
        <x:v>https://statistik.arbeitsagentur.de/Statistikdaten/Detail/201512/iiia6/beschaeftigung-sozbe-svb-kreise-merkmale/svb-kreise-merkmale-d-0-201512-xlsx.xlsx?__blob=publicationFile&amp;v=1</x:v>
      </x:c>
      <x:c r="K313" s="2" t="str">
        <x:v>https://www.bbsr.bund.de/BBSR/DE/forschung/raumbeobachtung/Raumabgrenzungen/deutschland/regionen/arbeitsmarktregionen/arbeitsmarktregionen-2017.csv?__blob=publicationFile&amp;v=2</x:v>
      </x:c>
    </x:row>
    <x:row r="314" ht="24" customHeight="1">
      <x:c r="A314" s="6" t="str">
        <x:v>09774</x:v>
      </x:c>
      <x:c r="B314" s="2" t="str">
        <x:v>Günzburg</x:v>
      </x:c>
      <x:c r="C314" s="2" t="n">
        <x:v>199</x:v>
      </x:c>
      <x:c r="D314" s="2" t="str">
        <x:v>Günzburg</x:v>
      </x:c>
      <x:c r="E314" s="8" t="n">
        <x:v>3010.5</x:v>
      </x:c>
      <x:c r="F314" s="7" t="n">
        <x:v>35200</x:v>
      </x:c>
      <x:c r="G314" s="8" t="n">
        <x:f>E314*F314</x:f>
        <x:v>105969600</x:v>
      </x:c>
      <x:c r="H314" s="10" t="n">
        <x:f>F314/SUMIF($C$2:$C$403,C314,$F$2:$F$403)</x:f>
        <x:v>1</x:v>
      </x:c>
      <x:c r="I314" s="2" t="str">
        <x:v>https://statistik.arbeitsagentur.de/Statistikdaten/Detail/201512/iiia6/beschaeftigung-entgelt-entgelt/entgelt-d-0-201512-xlsm.xlsm?__blob=publicationFile&amp;v=2</x:v>
      </x:c>
      <x:c r="J314" s="2" t="str">
        <x:v>https://statistik.arbeitsagentur.de/Statistikdaten/Detail/201512/iiia6/beschaeftigung-sozbe-svb-kreise-merkmale/svb-kreise-merkmale-d-0-201512-xlsx.xlsx?__blob=publicationFile&amp;v=1</x:v>
      </x:c>
      <x:c r="K314" s="2" t="str">
        <x:v>https://www.bbsr.bund.de/BBSR/DE/forschung/raumbeobachtung/Raumabgrenzungen/deutschland/regionen/arbeitsmarktregionen/arbeitsmarktregionen-2017.csv?__blob=publicationFile&amp;v=2</x:v>
      </x:c>
    </x:row>
    <x:row r="315" ht="24" customHeight="1">
      <x:c r="A315" s="6" t="str">
        <x:v>09775</x:v>
      </x:c>
      <x:c r="B315" s="2" t="str">
        <x:v>Neu-Ulm</x:v>
      </x:c>
      <x:c r="C315" s="2" t="n">
        <x:v>145</x:v>
      </x:c>
      <x:c r="D315" s="2" t="str">
        <x:v>Ulm</x:v>
      </x:c>
      <x:c r="E315" s="8" t="n">
        <x:v>3284.262458471761</x:v>
      </x:c>
      <x:c r="F315" s="7" t="n">
        <x:v>47333</x:v>
      </x:c>
      <x:c r="G315" s="8" t="n">
        <x:f>E315*F315</x:f>
        <x:v>155453994.94684386</x:v>
      </x:c>
      <x:c r="H315" s="10" t="n">
        <x:f>F315/SUMIF($C$2:$C$403,C315,$F$2:$F$403)</x:f>
        <x:v>0.30336610564905847</x:v>
      </x:c>
      <x:c r="I315" s="2" t="str">
        <x:v>https://statistik.arbeitsagentur.de/Statistikdaten/Detail/201512/iiia6/beschaeftigung-entgelt-entgelt/entgelt-d-0-201512-xlsm.xlsm?__blob=publicationFile&amp;v=2</x:v>
      </x:c>
      <x:c r="J315" s="2" t="str">
        <x:v>https://statistik.arbeitsagentur.de/Statistikdaten/Detail/201512/iiia6/beschaeftigung-sozbe-svb-kreise-merkmale/svb-kreise-merkmale-d-0-201512-xlsx.xlsx?__blob=publicationFile&amp;v=1</x:v>
      </x:c>
      <x:c r="K315" s="2" t="str">
        <x:v>https://www.bbsr.bund.de/BBSR/DE/forschung/raumbeobachtung/Raumabgrenzungen/deutschland/regionen/arbeitsmarktregionen/arbeitsmarktregionen-2017.csv?__blob=publicationFile&amp;v=2</x:v>
      </x:c>
    </x:row>
    <x:row r="316" ht="24" customHeight="1">
      <x:c r="A316" s="6" t="str">
        <x:v>09776</x:v>
      </x:c>
      <x:c r="B316" s="2" t="str">
        <x:v>Lindau (Bodensee)</x:v>
      </x:c>
      <x:c r="C316" s="2" t="n">
        <x:v>204</x:v>
      </x:c>
      <x:c r="D316" s="2" t="str">
        <x:v>Lindau</x:v>
      </x:c>
      <x:c r="E316" s="8" t="n">
        <x:v>3209.894409937888</x:v>
      </x:c>
      <x:c r="F316" s="7" t="n">
        <x:v>22505</x:v>
      </x:c>
      <x:c r="G316" s="8" t="n">
        <x:f>E316*F316</x:f>
        <x:v>72238673.69565217</x:v>
      </x:c>
      <x:c r="H316" s="10" t="n">
        <x:f>F316/SUMIF($C$2:$C$403,C316,$F$2:$F$403)</x:f>
        <x:v>1</x:v>
      </x:c>
      <x:c r="I316" s="2" t="str">
        <x:v>https://statistik.arbeitsagentur.de/Statistikdaten/Detail/201512/iiia6/beschaeftigung-entgelt-entgelt/entgelt-d-0-201512-xlsm.xlsm?__blob=publicationFile&amp;v=2</x:v>
      </x:c>
      <x:c r="J316" s="2" t="str">
        <x:v>https://statistik.arbeitsagentur.de/Statistikdaten/Detail/201512/iiia6/beschaeftigung-sozbe-svb-kreise-merkmale/svb-kreise-merkmale-d-0-201512-xlsx.xlsx?__blob=publicationFile&amp;v=1</x:v>
      </x:c>
      <x:c r="K316" s="2" t="str">
        <x:v>https://www.bbsr.bund.de/BBSR/DE/forschung/raumbeobachtung/Raumabgrenzungen/deutschland/regionen/arbeitsmarktregionen/arbeitsmarktregionen-2017.csv?__blob=publicationFile&amp;v=2</x:v>
      </x:c>
    </x:row>
    <x:row r="317" ht="24" customHeight="1">
      <x:c r="A317" s="6" t="str">
        <x:v>09777</x:v>
      </x:c>
      <x:c r="B317" s="2" t="str">
        <x:v>Ostallgäu</x:v>
      </x:c>
      <x:c r="C317" s="2" t="n">
        <x:v>202</x:v>
      </x:c>
      <x:c r="D317" s="2" t="str">
        <x:v>Kaufbeuren</x:v>
      </x:c>
      <x:c r="E317" s="8" t="n">
        <x:v>3080.760707635009</x:v>
      </x:c>
      <x:c r="F317" s="7" t="n">
        <x:v>33925</x:v>
      </x:c>
      <x:c r="G317" s="8" t="n">
        <x:f>E317*F317</x:f>
        <x:v>104514807.00651768</x:v>
      </x:c>
      <x:c r="H317" s="10" t="n">
        <x:f>F317/SUMIF($C$2:$C$403,C317,$F$2:$F$403)</x:f>
        <x:v>0.738141862489121</x:v>
      </x:c>
      <x:c r="I317" s="2" t="str">
        <x:v>https://statistik.arbeitsagentur.de/Statistikdaten/Detail/201512/iiia6/beschaeftigung-entgelt-entgelt/entgelt-d-0-201512-xlsm.xlsm?__blob=publicationFile&amp;v=2</x:v>
      </x:c>
      <x:c r="J317" s="2" t="str">
        <x:v>https://statistik.arbeitsagentur.de/Statistikdaten/Detail/201512/iiia6/beschaeftigung-sozbe-svb-kreise-merkmale/svb-kreise-merkmale-d-0-201512-xlsx.xlsx?__blob=publicationFile&amp;v=1</x:v>
      </x:c>
      <x:c r="K317" s="2" t="str">
        <x:v>https://www.bbsr.bund.de/BBSR/DE/forschung/raumbeobachtung/Raumabgrenzungen/deutschland/regionen/arbeitsmarktregionen/arbeitsmarktregionen-2017.csv?__blob=publicationFile&amp;v=2</x:v>
      </x:c>
    </x:row>
    <x:row r="318" ht="24" customHeight="1">
      <x:c r="A318" s="6" t="str">
        <x:v>09778</x:v>
      </x:c>
      <x:c r="B318" s="2" t="str">
        <x:v>Unterallgäu</x:v>
      </x:c>
      <x:c r="C318" s="2" t="n">
        <x:v>201</x:v>
      </x:c>
      <x:c r="D318" s="2" t="str">
        <x:v>Memmingen</x:v>
      </x:c>
      <x:c r="E318" s="8" t="n">
        <x:v>3136.9442567567567</x:v>
      </x:c>
      <x:c r="F318" s="7" t="n">
        <x:v>35323</x:v>
      </x:c>
      <x:c r="G318" s="8" t="n">
        <x:f>E318*F318</x:f>
        <x:v>110806281.98141892</x:v>
      </x:c>
      <x:c r="H318" s="10" t="n">
        <x:f>F318/SUMIF($C$2:$C$403,C318,$F$2:$F$403)</x:f>
        <x:v>0.6110611355222642</x:v>
      </x:c>
      <x:c r="I318" s="2" t="str">
        <x:v>https://statistik.arbeitsagentur.de/Statistikdaten/Detail/201512/iiia6/beschaeftigung-entgelt-entgelt/entgelt-d-0-201512-xlsm.xlsm?__blob=publicationFile&amp;v=2</x:v>
      </x:c>
      <x:c r="J318" s="2" t="str">
        <x:v>https://statistik.arbeitsagentur.de/Statistikdaten/Detail/201512/iiia6/beschaeftigung-sozbe-svb-kreise-merkmale/svb-kreise-merkmale-d-0-201512-xlsx.xlsx?__blob=publicationFile&amp;v=1</x:v>
      </x:c>
      <x:c r="K318" s="2" t="str">
        <x:v>https://www.bbsr.bund.de/BBSR/DE/forschung/raumbeobachtung/Raumabgrenzungen/deutschland/regionen/arbeitsmarktregionen/arbeitsmarktregionen-2017.csv?__blob=publicationFile&amp;v=2</x:v>
      </x:c>
    </x:row>
    <x:row r="319" ht="24" customHeight="1">
      <x:c r="A319" s="6" t="str">
        <x:v>09779</x:v>
      </x:c>
      <x:c r="B319" s="2" t="str">
        <x:v>Donau-Ries</x:v>
      </x:c>
      <x:c r="C319" s="2" t="n">
        <x:v>197</x:v>
      </x:c>
      <x:c r="D319" s="2" t="str">
        <x:v>Donauwörth-Nördlingen</x:v>
      </x:c>
      <x:c r="E319" s="8" t="n">
        <x:v>3228.9711964549483</x:v>
      </x:c>
      <x:c r="F319" s="7" t="n">
        <x:v>45999</x:v>
      </x:c>
      <x:c r="G319" s="8" t="n">
        <x:f>E319*F319</x:f>
        <x:v>148529446.06573117</x:v>
      </x:c>
      <x:c r="H319" s="10" t="n">
        <x:f>F319/SUMIF($C$2:$C$403,C319,$F$2:$F$403)</x:f>
        <x:v>1</x:v>
      </x:c>
      <x:c r="I319" s="2" t="str">
        <x:v>https://statistik.arbeitsagentur.de/Statistikdaten/Detail/201512/iiia6/beschaeftigung-entgelt-entgelt/entgelt-d-0-201512-xlsm.xlsm?__blob=publicationFile&amp;v=2</x:v>
      </x:c>
      <x:c r="J319" s="2" t="str">
        <x:v>https://statistik.arbeitsagentur.de/Statistikdaten/Detail/201512/iiia6/beschaeftigung-sozbe-svb-kreise-merkmale/svb-kreise-merkmale-d-0-201512-xlsx.xlsx?__blob=publicationFile&amp;v=1</x:v>
      </x:c>
      <x:c r="K319" s="2" t="str">
        <x:v>https://www.bbsr.bund.de/BBSR/DE/forschung/raumbeobachtung/Raumabgrenzungen/deutschland/regionen/arbeitsmarktregionen/arbeitsmarktregionen-2017.csv?__blob=publicationFile&amp;v=2</x:v>
      </x:c>
    </x:row>
    <x:row r="320" ht="24" customHeight="1">
      <x:c r="A320" s="6" t="str">
        <x:v>09780</x:v>
      </x:c>
      <x:c r="B320" s="2" t="str">
        <x:v>Oberallgäu</x:v>
      </x:c>
      <x:c r="C320" s="2" t="n">
        <x:v>203</x:v>
      </x:c>
      <x:c r="D320" s="2" t="str">
        <x:v>Kempten</x:v>
      </x:c>
      <x:c r="E320" s="8" t="n">
        <x:v>2819.966882067851</x:v>
      </x:c>
      <x:c r="F320" s="7" t="n">
        <x:v>35281</x:v>
      </x:c>
      <x:c r="G320" s="8" t="n">
        <x:f>E320*F320</x:f>
        <x:v>99491251.56623586</x:v>
      </x:c>
      <x:c r="H320" s="10" t="n">
        <x:f>F320/SUMIF($C$2:$C$403,C320,$F$2:$F$403)</x:f>
        <x:v>0.5751899312008869</x:v>
      </x:c>
      <x:c r="I320" s="2" t="str">
        <x:v>https://statistik.arbeitsagentur.de/Statistikdaten/Detail/201512/iiia6/beschaeftigung-entgelt-entgelt/entgelt-d-0-201512-xlsm.xlsm?__blob=publicationFile&amp;v=2</x:v>
      </x:c>
      <x:c r="J320" s="2" t="str">
        <x:v>https://statistik.arbeitsagentur.de/Statistikdaten/Detail/201512/iiia6/beschaeftigung-sozbe-svb-kreise-merkmale/svb-kreise-merkmale-d-0-201512-xlsx.xlsx?__blob=publicationFile&amp;v=1</x:v>
      </x:c>
      <x:c r="K320" s="2" t="str">
        <x:v>https://www.bbsr.bund.de/BBSR/DE/forschung/raumbeobachtung/Raumabgrenzungen/deutschland/regionen/arbeitsmarktregionen/arbeitsmarktregionen-2017.csv?__blob=publicationFile&amp;v=2</x:v>
      </x:c>
    </x:row>
    <x:row r="321" ht="24" customHeight="1">
      <x:c r="A321" s="6" t="str">
        <x:v>10041</x:v>
      </x:c>
      <x:c r="B321" s="2" t="str">
        <x:v>Regionalverband Saarbrücken</x:v>
      </x:c>
      <x:c r="C321" s="2" t="n">
        <x:v>118</x:v>
      </x:c>
      <x:c r="D321" s="2" t="str">
        <x:v>Saarbrücken</x:v>
      </x:c>
      <x:c r="E321" s="8" t="n">
        <x:v>3306.2076813655763</x:v>
      </x:c>
      <x:c r="F321" s="7" t="n">
        <x:v>110771</x:v>
      </x:c>
      <x:c r="G321" s="8" t="n">
        <x:f>E321*F321</x:f>
        <x:v>366231931.07254624</x:v>
      </x:c>
      <x:c r="H321" s="10" t="n">
        <x:f>F321/SUMIF($C$2:$C$403,C321,$F$2:$F$403)</x:f>
        <x:v>0.5739192157838017</x:v>
      </x:c>
      <x:c r="I321" s="2" t="str">
        <x:v>https://statistik.arbeitsagentur.de/Statistikdaten/Detail/201512/iiia6/beschaeftigung-entgelt-entgelt/entgelt-d-0-201512-xlsm.xlsm?__blob=publicationFile&amp;v=2</x:v>
      </x:c>
      <x:c r="J321" s="2" t="str">
        <x:v>https://statistik.arbeitsagentur.de/Statistikdaten/Detail/201512/iiia6/beschaeftigung-sozbe-svb-kreise-merkmale/svb-kreise-merkmale-d-0-201512-xlsx.xlsx?__blob=publicationFile&amp;v=1</x:v>
      </x:c>
      <x:c r="K321" s="2" t="str">
        <x:v>https://www.bbsr.bund.de/BBSR/DE/forschung/raumbeobachtung/Raumabgrenzungen/deutschland/regionen/arbeitsmarktregionen/arbeitsmarktregionen-2017.csv?__blob=publicationFile&amp;v=2</x:v>
      </x:c>
    </x:row>
    <x:row r="322" ht="24" customHeight="1">
      <x:c r="A322" s="6" t="str">
        <x:v>10042</x:v>
      </x:c>
      <x:c r="B322" s="2" t="str">
        <x:v>Merzig-Wadern</x:v>
      </x:c>
      <x:c r="C322" s="2" t="n">
        <x:v>116</x:v>
      </x:c>
      <x:c r="D322" s="2" t="str">
        <x:v>Merzig</x:v>
      </x:c>
      <x:c r="E322" s="8" t="n">
        <x:v>2876.33135391924</x:v>
      </x:c>
      <x:c r="F322" s="7" t="n">
        <x:v>21363</x:v>
      </x:c>
      <x:c r="G322" s="8" t="n">
        <x:f>E322*F322</x:f>
        <x:v>61447066.71377672</x:v>
      </x:c>
      <x:c r="H322" s="10" t="n">
        <x:f>F322/SUMIF($C$2:$C$403,C322,$F$2:$F$403)</x:f>
        <x:v>1</x:v>
      </x:c>
      <x:c r="I322" s="2" t="str">
        <x:v>https://statistik.arbeitsagentur.de/Statistikdaten/Detail/201512/iiia6/beschaeftigung-entgelt-entgelt/entgelt-d-0-201512-xlsm.xlsm?__blob=publicationFile&amp;v=2</x:v>
      </x:c>
      <x:c r="J322" s="2" t="str">
        <x:v>https://statistik.arbeitsagentur.de/Statistikdaten/Detail/201512/iiia6/beschaeftigung-sozbe-svb-kreise-merkmale/svb-kreise-merkmale-d-0-201512-xlsx.xlsx?__blob=publicationFile&amp;v=1</x:v>
      </x:c>
      <x:c r="K322" s="2" t="str">
        <x:v>https://www.bbsr.bund.de/BBSR/DE/forschung/raumbeobachtung/Raumabgrenzungen/deutschland/regionen/arbeitsmarktregionen/arbeitsmarktregionen-2017.csv?__blob=publicationFile&amp;v=2</x:v>
      </x:c>
    </x:row>
    <x:row r="323" ht="24" customHeight="1">
      <x:c r="A323" s="6" t="str">
        <x:v>10043</x:v>
      </x:c>
      <x:c r="B323" s="2" t="str">
        <x:v>Neunkirchen</x:v>
      </x:c>
      <x:c r="C323" s="2" t="n">
        <x:v>118</x:v>
      </x:c>
      <x:c r="D323" s="2" t="str">
        <x:v>Saarbrücken</x:v>
      </x:c>
      <x:c r="E323" s="8" t="n">
        <x:v>3068.0382653061224</x:v>
      </x:c>
      <x:c r="F323" s="7" t="n">
        <x:v>28416</x:v>
      </x:c>
      <x:c r="G323" s="8" t="n">
        <x:f>E323*F323</x:f>
        <x:v>87181375.34693877</x:v>
      </x:c>
      <x:c r="H323" s="10" t="n">
        <x:f>F323/SUMIF($C$2:$C$403,C323,$F$2:$F$403)</x:f>
        <x:v>0.14722705794578464</x:v>
      </x:c>
      <x:c r="I323" s="2" t="str">
        <x:v>https://statistik.arbeitsagentur.de/Statistikdaten/Detail/201512/iiia6/beschaeftigung-entgelt-entgelt/entgelt-d-0-201512-xlsm.xlsm?__blob=publicationFile&amp;v=2</x:v>
      </x:c>
      <x:c r="J323" s="2" t="str">
        <x:v>https://statistik.arbeitsagentur.de/Statistikdaten/Detail/201512/iiia6/beschaeftigung-sozbe-svb-kreise-merkmale/svb-kreise-merkmale-d-0-201512-xlsx.xlsx?__blob=publicationFile&amp;v=1</x:v>
      </x:c>
      <x:c r="K323" s="2" t="str">
        <x:v>https://www.bbsr.bund.de/BBSR/DE/forschung/raumbeobachtung/Raumabgrenzungen/deutschland/regionen/arbeitsmarktregionen/arbeitsmarktregionen-2017.csv?__blob=publicationFile&amp;v=2</x:v>
      </x:c>
    </x:row>
    <x:row r="324" ht="24" customHeight="1">
      <x:c r="A324" s="6" t="str">
        <x:v>10044</x:v>
      </x:c>
      <x:c r="B324" s="2" t="str">
        <x:v>Saarlouis</x:v>
      </x:c>
      <x:c r="C324" s="2" t="n">
        <x:v>118</x:v>
      </x:c>
      <x:c r="D324" s="2" t="str">
        <x:v>Saarbrücken</x:v>
      </x:c>
      <x:c r="E324" s="8" t="n">
        <x:v>3108.1070901033972</x:v>
      </x:c>
      <x:c r="F324" s="7" t="n">
        <x:v>53821</x:v>
      </x:c>
      <x:c r="G324" s="8" t="n">
        <x:f>E324*F324</x:f>
        <x:v>167281431.69645494</x:v>
      </x:c>
      <x:c r="H324" s="10" t="n">
        <x:f>F324/SUMIF($C$2:$C$403,C324,$F$2:$F$403)</x:f>
        <x:v>0.27885372627041366</x:v>
      </x:c>
      <x:c r="I324" s="2" t="str">
        <x:v>https://statistik.arbeitsagentur.de/Statistikdaten/Detail/201512/iiia6/beschaeftigung-entgelt-entgelt/entgelt-d-0-201512-xlsm.xlsm?__blob=publicationFile&amp;v=2</x:v>
      </x:c>
      <x:c r="J324" s="2" t="str">
        <x:v>https://statistik.arbeitsagentur.de/Statistikdaten/Detail/201512/iiia6/beschaeftigung-sozbe-svb-kreise-merkmale/svb-kreise-merkmale-d-0-201512-xlsx.xlsx?__blob=publicationFile&amp;v=1</x:v>
      </x:c>
      <x:c r="K324" s="2" t="str">
        <x:v>https://www.bbsr.bund.de/BBSR/DE/forschung/raumbeobachtung/Raumabgrenzungen/deutschland/regionen/arbeitsmarktregionen/arbeitsmarktregionen-2017.csv?__blob=publicationFile&amp;v=2</x:v>
      </x:c>
    </x:row>
    <x:row r="325" ht="24" customHeight="1">
      <x:c r="A325" s="6" t="str">
        <x:v>10045</x:v>
      </x:c>
      <x:c r="B325" s="2" t="str">
        <x:v>Saarpfalz-Kreis</x:v>
      </x:c>
      <x:c r="C325" s="2" t="n">
        <x:v>119</x:v>
      </x:c>
      <x:c r="D325" s="2" t="str">
        <x:v>Homburg/Saar</x:v>
      </x:c>
      <x:c r="E325" s="8" t="n">
        <x:v>3379.162182361734</x:v>
      </x:c>
      <x:c r="F325" s="7" t="n">
        <x:v>49844</x:v>
      </x:c>
      <x:c r="G325" s="8" t="n">
        <x:f>E325*F325</x:f>
        <x:v>168430959.81763825</x:v>
      </x:c>
      <x:c r="H325" s="10" t="n">
        <x:f>F325/SUMIF($C$2:$C$403,C325,$F$2:$F$403)</x:f>
        <x:v>1</x:v>
      </x:c>
      <x:c r="I325" s="2" t="str">
        <x:v>https://statistik.arbeitsagentur.de/Statistikdaten/Detail/201512/iiia6/beschaeftigung-entgelt-entgelt/entgelt-d-0-201512-xlsm.xlsm?__blob=publicationFile&amp;v=2</x:v>
      </x:c>
      <x:c r="J325" s="2" t="str">
        <x:v>https://statistik.arbeitsagentur.de/Statistikdaten/Detail/201512/iiia6/beschaeftigung-sozbe-svb-kreise-merkmale/svb-kreise-merkmale-d-0-201512-xlsx.xlsx?__blob=publicationFile&amp;v=1</x:v>
      </x:c>
      <x:c r="K325" s="2" t="str">
        <x:v>https://www.bbsr.bund.de/BBSR/DE/forschung/raumbeobachtung/Raumabgrenzungen/deutschland/regionen/arbeitsmarktregionen/arbeitsmarktregionen-2017.csv?__blob=publicationFile&amp;v=2</x:v>
      </x:c>
    </x:row>
    <x:row r="326" ht="24" customHeight="1">
      <x:c r="A326" s="6" t="str">
        <x:v>10046</x:v>
      </x:c>
      <x:c r="B326" s="2" t="str">
        <x:v>St. Wendel</x:v>
      </x:c>
      <x:c r="C326" s="2" t="n">
        <x:v>117</x:v>
      </x:c>
      <x:c r="D326" s="2" t="str">
        <x:v>St. Wendel</x:v>
      </x:c>
      <x:c r="E326" s="8" t="n">
        <x:v>2973.893854748603</x:v>
      </x:c>
      <x:c r="F326" s="7" t="n">
        <x:v>18410</x:v>
      </x:c>
      <x:c r="G326" s="8" t="n">
        <x:f>E326*F326</x:f>
        <x:v>54749385.86592179</x:v>
      </x:c>
      <x:c r="H326" s="10" t="n">
        <x:f>F326/SUMIF($C$2:$C$403,C326,$F$2:$F$403)</x:f>
        <x:v>1</x:v>
      </x:c>
      <x:c r="I326" s="2" t="str">
        <x:v>https://statistik.arbeitsagentur.de/Statistikdaten/Detail/201512/iiia6/beschaeftigung-entgelt-entgelt/entgelt-d-0-201512-xlsm.xlsm?__blob=publicationFile&amp;v=2</x:v>
      </x:c>
      <x:c r="J326" s="2" t="str">
        <x:v>https://statistik.arbeitsagentur.de/Statistikdaten/Detail/201512/iiia6/beschaeftigung-sozbe-svb-kreise-merkmale/svb-kreise-merkmale-d-0-201512-xlsx.xlsx?__blob=publicationFile&amp;v=1</x:v>
      </x:c>
      <x:c r="K326" s="2" t="str">
        <x:v>https://www.bbsr.bund.de/BBSR/DE/forschung/raumbeobachtung/Raumabgrenzungen/deutschland/regionen/arbeitsmarktregionen/arbeitsmarktregionen-2017.csv?__blob=publicationFile&amp;v=2</x:v>
      </x:c>
    </x:row>
    <x:row r="327" ht="24" customHeight="1">
      <x:c r="A327" s="6" t="str">
        <x:v>11000</x:v>
      </x:c>
      <x:c r="B327" s="2" t="str">
        <x:v>Berlin, Stadt</x:v>
      </x:c>
      <x:c r="C327" s="2" t="n">
        <x:v>205</x:v>
      </x:c>
      <x:c r="D327" s="2" t="str">
        <x:v>Berlin</x:v>
      </x:c>
      <x:c r="E327" s="8" t="n">
        <x:v>2973.5670327754533</x:v>
      </x:c>
      <x:c r="F327" s="7" t="n">
        <x:v>912507</x:v>
      </x:c>
      <x:c r="G327" s="8" t="n">
        <x:f>E327*F327</x:f>
        <x:v>2713400732.3768306</x:v>
      </x:c>
      <x:c r="H327" s="10" t="n">
        <x:f>F327/SUMIF($C$2:$C$403,C327,$F$2:$F$403)</x:f>
        <x:v>1</x:v>
      </x:c>
      <x:c r="I327" s="2" t="str">
        <x:v>https://statistik.arbeitsagentur.de/Statistikdaten/Detail/201512/iiia6/beschaeftigung-entgelt-entgelt/entgelt-d-0-201512-xlsm.xlsm?__blob=publicationFile&amp;v=2</x:v>
      </x:c>
      <x:c r="J327" s="2" t="str">
        <x:v>https://statistik.arbeitsagentur.de/Statistikdaten/Detail/201512/iiia6/beschaeftigung-sozbe-svb-kreise-merkmale/svb-kreise-merkmale-d-0-201512-xlsx.xlsx?__blob=publicationFile&amp;v=1</x:v>
      </x:c>
      <x:c r="K327" s="2" t="str">
        <x:v>https://www.bbsr.bund.de/BBSR/DE/forschung/raumbeobachtung/Raumabgrenzungen/deutschland/regionen/arbeitsmarktregionen/arbeitsmarktregionen-2017.csv?__blob=publicationFile&amp;v=2</x:v>
      </x:c>
    </x:row>
    <x:row r="328" ht="24" customHeight="1">
      <x:c r="A328" s="6" t="str">
        <x:v>12051</x:v>
      </x:c>
      <x:c r="B328" s="2" t="str">
        <x:v>Brandenburg an der Havel, St.</x:v>
      </x:c>
      <x:c r="C328" s="2" t="n">
        <x:v>206</x:v>
      </x:c>
      <x:c r="D328" s="2" t="str">
        <x:v>Potsdam-Brandenburg</x:v>
      </x:c>
      <x:c r="E328" s="8" t="n">
        <x:v>2564.122754491018</x:v>
      </x:c>
      <x:c r="F328" s="7" t="n">
        <x:v>20423</x:v>
      </x:c>
      <x:c r="G328" s="8" t="n">
        <x:f>E328*F328</x:f>
        <x:v>52367079.01497006</x:v>
      </x:c>
      <x:c r="H328" s="10" t="n">
        <x:f>F328/SUMIF($C$2:$C$403,C328,$F$2:$F$403)</x:f>
        <x:v>0.1370937967792389</x:v>
      </x:c>
      <x:c r="I328" s="2" t="str">
        <x:v>https://statistik.arbeitsagentur.de/Statistikdaten/Detail/201512/iiia6/beschaeftigung-entgelt-entgelt/entgelt-d-0-201512-xlsm.xlsm?__blob=publicationFile&amp;v=2</x:v>
      </x:c>
      <x:c r="J328" s="2" t="str">
        <x:v>https://statistik.arbeitsagentur.de/Statistikdaten/Detail/201512/iiia6/beschaeftigung-sozbe-svb-kreise-merkmale/svb-kreise-merkmale-d-0-201512-xlsx.xlsx?__blob=publicationFile&amp;v=1</x:v>
      </x:c>
      <x:c r="K328" s="2" t="str">
        <x:v>https://www.bbsr.bund.de/BBSR/DE/forschung/raumbeobachtung/Raumabgrenzungen/deutschland/regionen/arbeitsmarktregionen/arbeitsmarktregionen-2017.csv?__blob=publicationFile&amp;v=2</x:v>
      </x:c>
    </x:row>
    <x:row r="329" ht="24" customHeight="1">
      <x:c r="A329" s="6" t="str">
        <x:v>12052</x:v>
      </x:c>
      <x:c r="B329" s="2" t="str">
        <x:v>Cottbus, Stadt</x:v>
      </x:c>
      <x:c r="C329" s="2" t="n">
        <x:v>207</x:v>
      </x:c>
      <x:c r="D329" s="2" t="str">
        <x:v>Cottbus</x:v>
      </x:c>
      <x:c r="E329" s="8" t="n">
        <x:v>2587.8052959501556</x:v>
      </x:c>
      <x:c r="F329" s="7" t="n">
        <x:v>31385</x:v>
      </x:c>
      <x:c r="G329" s="8" t="n">
        <x:f>E329*F329</x:f>
        <x:v>81218269.21339564</x:v>
      </x:c>
      <x:c r="H329" s="10" t="n">
        <x:f>F329/SUMIF($C$2:$C$403,C329,$F$2:$F$403)</x:f>
        <x:v>0.3699577999387038</x:v>
      </x:c>
      <x:c r="I329" s="2" t="str">
        <x:v>https://statistik.arbeitsagentur.de/Statistikdaten/Detail/201512/iiia6/beschaeftigung-entgelt-entgelt/entgelt-d-0-201512-xlsm.xlsm?__blob=publicationFile&amp;v=2</x:v>
      </x:c>
      <x:c r="J329" s="2" t="str">
        <x:v>https://statistik.arbeitsagentur.de/Statistikdaten/Detail/201512/iiia6/beschaeftigung-sozbe-svb-kreise-merkmale/svb-kreise-merkmale-d-0-201512-xlsx.xlsx?__blob=publicationFile&amp;v=1</x:v>
      </x:c>
      <x:c r="K329" s="2" t="str">
        <x:v>https://www.bbsr.bund.de/BBSR/DE/forschung/raumbeobachtung/Raumabgrenzungen/deutschland/regionen/arbeitsmarktregionen/arbeitsmarktregionen-2017.csv?__blob=publicationFile&amp;v=2</x:v>
      </x:c>
    </x:row>
    <x:row r="330" ht="24" customHeight="1">
      <x:c r="A330" s="6" t="str">
        <x:v>12053</x:v>
      </x:c>
      <x:c r="B330" s="2" t="str">
        <x:v>Frankfurt (Oder), Stadt</x:v>
      </x:c>
      <x:c r="C330" s="2" t="n">
        <x:v>208</x:v>
      </x:c>
      <x:c r="D330" s="2" t="str">
        <x:v>Frankfurt/Oder</x:v>
      </x:c>
      <x:c r="E330" s="8" t="n">
        <x:v>2614.177130044843</x:v>
      </x:c>
      <x:c r="F330" s="7" t="n">
        <x:v>17944</x:v>
      </x:c>
      <x:c r="G330" s="8" t="n">
        <x:f>E330*F330</x:f>
        <x:v>46908794.421524666</x:v>
      </x:c>
      <x:c r="H330" s="10" t="n">
        <x:f>F330/SUMIF($C$2:$C$403,C330,$F$2:$F$403)</x:f>
        <x:v>0.19761026375199603</x:v>
      </x:c>
      <x:c r="I330" s="2" t="str">
        <x:v>https://statistik.arbeitsagentur.de/Statistikdaten/Detail/201512/iiia6/beschaeftigung-entgelt-entgelt/entgelt-d-0-201512-xlsm.xlsm?__blob=publicationFile&amp;v=2</x:v>
      </x:c>
      <x:c r="J330" s="2" t="str">
        <x:v>https://statistik.arbeitsagentur.de/Statistikdaten/Detail/201512/iiia6/beschaeftigung-sozbe-svb-kreise-merkmale/svb-kreise-merkmale-d-0-201512-xlsx.xlsx?__blob=publicationFile&amp;v=1</x:v>
      </x:c>
      <x:c r="K330" s="2" t="str">
        <x:v>https://www.bbsr.bund.de/BBSR/DE/forschung/raumbeobachtung/Raumabgrenzungen/deutschland/regionen/arbeitsmarktregionen/arbeitsmarktregionen-2017.csv?__blob=publicationFile&amp;v=2</x:v>
      </x:c>
    </x:row>
    <x:row r="331" ht="24" customHeight="1">
      <x:c r="A331" s="6" t="str">
        <x:v>12054</x:v>
      </x:c>
      <x:c r="B331" s="2" t="str">
        <x:v>Potsdam, Stadt</x:v>
      </x:c>
      <x:c r="C331" s="2" t="n">
        <x:v>206</x:v>
      </x:c>
      <x:c r="D331" s="2" t="str">
        <x:v>Potsdam-Brandenburg</x:v>
      </x:c>
      <x:c r="E331" s="8" t="n">
        <x:v>2812.519230769231</x:v>
      </x:c>
      <x:c r="F331" s="7" t="n">
        <x:v>56275</x:v>
      </x:c>
      <x:c r="G331" s="8" t="n">
        <x:f>E331*F331</x:f>
        <x:v>158274519.71153846</x:v>
      </x:c>
      <x:c r="H331" s="10" t="n">
        <x:f>F331/SUMIF($C$2:$C$403,C331,$F$2:$F$403)</x:f>
        <x:v>0.3777580871444778</x:v>
      </x:c>
      <x:c r="I331" s="2" t="str">
        <x:v>https://statistik.arbeitsagentur.de/Statistikdaten/Detail/201512/iiia6/beschaeftigung-entgelt-entgelt/entgelt-d-0-201512-xlsm.xlsm?__blob=publicationFile&amp;v=2</x:v>
      </x:c>
      <x:c r="J331" s="2" t="str">
        <x:v>https://statistik.arbeitsagentur.de/Statistikdaten/Detail/201512/iiia6/beschaeftigung-sozbe-svb-kreise-merkmale/svb-kreise-merkmale-d-0-201512-xlsx.xlsx?__blob=publicationFile&amp;v=1</x:v>
      </x:c>
      <x:c r="K331" s="2" t="str">
        <x:v>https://www.bbsr.bund.de/BBSR/DE/forschung/raumbeobachtung/Raumabgrenzungen/deutschland/regionen/arbeitsmarktregionen/arbeitsmarktregionen-2017.csv?__blob=publicationFile&amp;v=2</x:v>
      </x:c>
    </x:row>
    <x:row r="332" ht="24" customHeight="1">
      <x:c r="A332" s="6" t="str">
        <x:v>12060</x:v>
      </x:c>
      <x:c r="B332" s="2" t="str">
        <x:v>Barnim</x:v>
      </x:c>
      <x:c r="C332" s="2" t="n">
        <x:v>209</x:v>
      </x:c>
      <x:c r="D332" s="2" t="str">
        <x:v>Eberswalde</x:v>
      </x:c>
      <x:c r="E332" s="8" t="n">
        <x:v>2269.2604690117255</x:v>
      </x:c>
      <x:c r="F332" s="7" t="n">
        <x:v>33579</x:v>
      </x:c>
      <x:c r="G332" s="8" t="n">
        <x:f>E332*F332</x:f>
        <x:v>76199497.28894474</x:v>
      </x:c>
      <x:c r="H332" s="10" t="n">
        <x:f>F332/SUMIF($C$2:$C$403,C332,$F$2:$F$403)</x:f>
        <x:v>1</x:v>
      </x:c>
      <x:c r="I332" s="2" t="str">
        <x:v>https://statistik.arbeitsagentur.de/Statistikdaten/Detail/201512/iiia6/beschaeftigung-entgelt-entgelt/entgelt-d-0-201512-xlsm.xlsm?__blob=publicationFile&amp;v=2</x:v>
      </x:c>
      <x:c r="J332" s="2" t="str">
        <x:v>https://statistik.arbeitsagentur.de/Statistikdaten/Detail/201512/iiia6/beschaeftigung-sozbe-svb-kreise-merkmale/svb-kreise-merkmale-d-0-201512-xlsx.xlsx?__blob=publicationFile&amp;v=1</x:v>
      </x:c>
      <x:c r="K332" s="2" t="str">
        <x:v>https://www.bbsr.bund.de/BBSR/DE/forschung/raumbeobachtung/Raumabgrenzungen/deutschland/regionen/arbeitsmarktregionen/arbeitsmarktregionen-2017.csv?__blob=publicationFile&amp;v=2</x:v>
      </x:c>
    </x:row>
    <x:row r="333" ht="24" customHeight="1">
      <x:c r="A333" s="6" t="str">
        <x:v>12061</x:v>
      </x:c>
      <x:c r="B333" s="2" t="str">
        <x:v>Dahme-Spreewald</x:v>
      </x:c>
      <x:c r="C333" s="2" t="n">
        <x:v>210</x:v>
      </x:c>
      <x:c r="D333" s="2" t="str">
        <x:v>Luckenwalde</x:v>
      </x:c>
      <x:c r="E333" s="8" t="n">
        <x:v>2394.1324786324785</x:v>
      </x:c>
      <x:c r="F333" s="7" t="n">
        <x:v>40630</x:v>
      </x:c>
      <x:c r="G333" s="8" t="n">
        <x:f>E333*F333</x:f>
        <x:v>97273602.6068376</x:v>
      </x:c>
      <x:c r="H333" s="10" t="n">
        <x:f>F333/SUMIF($C$2:$C$403,C333,$F$2:$F$403)</x:f>
        <x:v>0.47689472634012936</x:v>
      </x:c>
      <x:c r="I333" s="2" t="str">
        <x:v>https://statistik.arbeitsagentur.de/Statistikdaten/Detail/201512/iiia6/beschaeftigung-entgelt-entgelt/entgelt-d-0-201512-xlsm.xlsm?__blob=publicationFile&amp;v=2</x:v>
      </x:c>
      <x:c r="J333" s="2" t="str">
        <x:v>https://statistik.arbeitsagentur.de/Statistikdaten/Detail/201512/iiia6/beschaeftigung-sozbe-svb-kreise-merkmale/svb-kreise-merkmale-d-0-201512-xlsx.xlsx?__blob=publicationFile&amp;v=1</x:v>
      </x:c>
      <x:c r="K333" s="2" t="str">
        <x:v>https://www.bbsr.bund.de/BBSR/DE/forschung/raumbeobachtung/Raumabgrenzungen/deutschland/regionen/arbeitsmarktregionen/arbeitsmarktregionen-2017.csv?__blob=publicationFile&amp;v=2</x:v>
      </x:c>
    </x:row>
    <x:row r="334" ht="24" customHeight="1">
      <x:c r="A334" s="6" t="str">
        <x:v>12062</x:v>
      </x:c>
      <x:c r="B334" s="2" t="str">
        <x:v>Elbe-Elster</x:v>
      </x:c>
      <x:c r="C334" s="2" t="n">
        <x:v>211</x:v>
      </x:c>
      <x:c r="D334" s="2" t="str">
        <x:v>Finsterwalde</x:v>
      </x:c>
      <x:c r="E334" s="8" t="n">
        <x:v>2062.409650924025</x:v>
      </x:c>
      <x:c r="F334" s="7" t="n">
        <x:v>23194</x:v>
      </x:c>
      <x:c r="G334" s="8" t="n">
        <x:f>E334*F334</x:f>
        <x:v>47835529.44353183</x:v>
      </x:c>
      <x:c r="H334" s="10" t="n">
        <x:f>F334/SUMIF($C$2:$C$403,C334,$F$2:$F$403)</x:f>
        <x:v>1</x:v>
      </x:c>
      <x:c r="I334" s="2" t="str">
        <x:v>https://statistik.arbeitsagentur.de/Statistikdaten/Detail/201512/iiia6/beschaeftigung-entgelt-entgelt/entgelt-d-0-201512-xlsm.xlsm?__blob=publicationFile&amp;v=2</x:v>
      </x:c>
      <x:c r="J334" s="2" t="str">
        <x:v>https://statistik.arbeitsagentur.de/Statistikdaten/Detail/201512/iiia6/beschaeftigung-sozbe-svb-kreise-merkmale/svb-kreise-merkmale-d-0-201512-xlsx.xlsx?__blob=publicationFile&amp;v=1</x:v>
      </x:c>
      <x:c r="K334" s="2" t="str">
        <x:v>https://www.bbsr.bund.de/BBSR/DE/forschung/raumbeobachtung/Raumabgrenzungen/deutschland/regionen/arbeitsmarktregionen/arbeitsmarktregionen-2017.csv?__blob=publicationFile&amp;v=2</x:v>
      </x:c>
    </x:row>
    <x:row r="335" ht="24" customHeight="1">
      <x:c r="A335" s="6" t="str">
        <x:v>12063</x:v>
      </x:c>
      <x:c r="B335" s="2" t="str">
        <x:v>Havelland</x:v>
      </x:c>
      <x:c r="C335" s="2" t="n">
        <x:v>206</x:v>
      </x:c>
      <x:c r="D335" s="2" t="str">
        <x:v>Potsdam-Brandenburg</x:v>
      </x:c>
      <x:c r="E335" s="8" t="n">
        <x:v>2104.3189533239038</x:v>
      </x:c>
      <x:c r="F335" s="7" t="n">
        <x:v>30320</x:v>
      </x:c>
      <x:c r="G335" s="8" t="n">
        <x:f>E335*F335</x:f>
        <x:v>63802950.664780766</x:v>
      </x:c>
      <x:c r="H335" s="10" t="n">
        <x:f>F335/SUMIF($C$2:$C$403,C335,$F$2:$F$403)</x:f>
        <x:v>0.20352954601902384</x:v>
      </x:c>
      <x:c r="I335" s="2" t="str">
        <x:v>https://statistik.arbeitsagentur.de/Statistikdaten/Detail/201512/iiia6/beschaeftigung-entgelt-entgelt/entgelt-d-0-201512-xlsm.xlsm?__blob=publicationFile&amp;v=2</x:v>
      </x:c>
      <x:c r="J335" s="2" t="str">
        <x:v>https://statistik.arbeitsagentur.de/Statistikdaten/Detail/201512/iiia6/beschaeftigung-sozbe-svb-kreise-merkmale/svb-kreise-merkmale-d-0-201512-xlsx.xlsx?__blob=publicationFile&amp;v=1</x:v>
      </x:c>
      <x:c r="K335" s="2" t="str">
        <x:v>https://www.bbsr.bund.de/BBSR/DE/forschung/raumbeobachtung/Raumabgrenzungen/deutschland/regionen/arbeitsmarktregionen/arbeitsmarktregionen-2017.csv?__blob=publicationFile&amp;v=2</x:v>
      </x:c>
    </x:row>
    <x:row r="336" ht="24" customHeight="1">
      <x:c r="A336" s="6" t="str">
        <x:v>12064</x:v>
      </x:c>
      <x:c r="B336" s="2" t="str">
        <x:v>Märkisch-Oderland</x:v>
      </x:c>
      <x:c r="C336" s="2" t="n">
        <x:v>208</x:v>
      </x:c>
      <x:c r="D336" s="2" t="str">
        <x:v>Frankfurt/Oder</x:v>
      </x:c>
      <x:c r="E336" s="8" t="n">
        <x:v>2291.526785714286</x:v>
      </x:c>
      <x:c r="F336" s="7" t="n">
        <x:v>33495</x:v>
      </x:c>
      <x:c r="G336" s="8" t="n">
        <x:f>E336*F336</x:f>
        <x:v>76754689.6875</x:v>
      </x:c>
      <x:c r="H336" s="10" t="n">
        <x:f>F336/SUMIF($C$2:$C$403,C336,$F$2:$F$403)</x:f>
        <x:v>0.3688673531193216</x:v>
      </x:c>
      <x:c r="I336" s="2" t="str">
        <x:v>https://statistik.arbeitsagentur.de/Statistikdaten/Detail/201512/iiia6/beschaeftigung-entgelt-entgelt/entgelt-d-0-201512-xlsm.xlsm?__blob=publicationFile&amp;v=2</x:v>
      </x:c>
      <x:c r="J336" s="2" t="str">
        <x:v>https://statistik.arbeitsagentur.de/Statistikdaten/Detail/201512/iiia6/beschaeftigung-sozbe-svb-kreise-merkmale/svb-kreise-merkmale-d-0-201512-xlsx.xlsx?__blob=publicationFile&amp;v=1</x:v>
      </x:c>
      <x:c r="K336" s="2" t="str">
        <x:v>https://www.bbsr.bund.de/BBSR/DE/forschung/raumbeobachtung/Raumabgrenzungen/deutschland/regionen/arbeitsmarktregionen/arbeitsmarktregionen-2017.csv?__blob=publicationFile&amp;v=2</x:v>
      </x:c>
    </x:row>
    <x:row r="337" ht="24" customHeight="1">
      <x:c r="A337" s="6" t="str">
        <x:v>12065</x:v>
      </x:c>
      <x:c r="B337" s="2" t="str">
        <x:v>Oberhavel</x:v>
      </x:c>
      <x:c r="C337" s="2" t="n">
        <x:v>212</x:v>
      </x:c>
      <x:c r="D337" s="2" t="str">
        <x:v>Oranienburg</x:v>
      </x:c>
      <x:c r="E337" s="8" t="n">
        <x:v>2434.0895117540686</x:v>
      </x:c>
      <x:c r="F337" s="7" t="n">
        <x:v>39780</x:v>
      </x:c>
      <x:c r="G337" s="8" t="n">
        <x:f>E337*F337</x:f>
        <x:v>96828080.77757685</x:v>
      </x:c>
      <x:c r="H337" s="10" t="n">
        <x:f>F337/SUMIF($C$2:$C$403,C337,$F$2:$F$403)</x:f>
        <x:v>1</x:v>
      </x:c>
      <x:c r="I337" s="2" t="str">
        <x:v>https://statistik.arbeitsagentur.de/Statistikdaten/Detail/201512/iiia6/beschaeftigung-entgelt-entgelt/entgelt-d-0-201512-xlsm.xlsm?__blob=publicationFile&amp;v=2</x:v>
      </x:c>
      <x:c r="J337" s="2" t="str">
        <x:v>https://statistik.arbeitsagentur.de/Statistikdaten/Detail/201512/iiia6/beschaeftigung-sozbe-svb-kreise-merkmale/svb-kreise-merkmale-d-0-201512-xlsx.xlsx?__blob=publicationFile&amp;v=1</x:v>
      </x:c>
      <x:c r="K337" s="2" t="str">
        <x:v>https://www.bbsr.bund.de/BBSR/DE/forschung/raumbeobachtung/Raumabgrenzungen/deutschland/regionen/arbeitsmarktregionen/arbeitsmarktregionen-2017.csv?__blob=publicationFile&amp;v=2</x:v>
      </x:c>
    </x:row>
    <x:row r="338" ht="24" customHeight="1">
      <x:c r="A338" s="6" t="str">
        <x:v>12066</x:v>
      </x:c>
      <x:c r="B338" s="2" t="str">
        <x:v>Oberspreewald-Lausitz</x:v>
      </x:c>
      <x:c r="C338" s="2" t="n">
        <x:v>207</x:v>
      </x:c>
      <x:c r="D338" s="2" t="str">
        <x:v>Cottbus</x:v>
      </x:c>
      <x:c r="E338" s="8" t="n">
        <x:v>2335.0454545454545</x:v>
      </x:c>
      <x:c r="F338" s="7" t="n">
        <x:v>26899</x:v>
      </x:c>
      <x:c r="G338" s="8" t="n">
        <x:f>E338*F338</x:f>
        <x:v>62810387.68181818</x:v>
      </x:c>
      <x:c r="H338" s="10" t="n">
        <x:f>F338/SUMIF($C$2:$C$403,C338,$F$2:$F$403)</x:f>
        <x:v>0.3170780583256713</x:v>
      </x:c>
      <x:c r="I338" s="2" t="str">
        <x:v>https://statistik.arbeitsagentur.de/Statistikdaten/Detail/201512/iiia6/beschaeftigung-entgelt-entgelt/entgelt-d-0-201512-xlsm.xlsm?__blob=publicationFile&amp;v=2</x:v>
      </x:c>
      <x:c r="J338" s="2" t="str">
        <x:v>https://statistik.arbeitsagentur.de/Statistikdaten/Detail/201512/iiia6/beschaeftigung-sozbe-svb-kreise-merkmale/svb-kreise-merkmale-d-0-201512-xlsx.xlsx?__blob=publicationFile&amp;v=1</x:v>
      </x:c>
      <x:c r="K338" s="2" t="str">
        <x:v>https://www.bbsr.bund.de/BBSR/DE/forschung/raumbeobachtung/Raumabgrenzungen/deutschland/regionen/arbeitsmarktregionen/arbeitsmarktregionen-2017.csv?__blob=publicationFile&amp;v=2</x:v>
      </x:c>
    </x:row>
    <x:row r="339" ht="24" customHeight="1">
      <x:c r="A339" s="6" t="str">
        <x:v>12067</x:v>
      </x:c>
      <x:c r="B339" s="2" t="str">
        <x:v>Oder-Spree</x:v>
      </x:c>
      <x:c r="C339" s="2" t="n">
        <x:v>208</x:v>
      </x:c>
      <x:c r="D339" s="2" t="str">
        <x:v>Frankfurt/Oder</x:v>
      </x:c>
      <x:c r="E339" s="8" t="n">
        <x:v>2376.815789473684</x:v>
      </x:c>
      <x:c r="F339" s="7" t="n">
        <x:v>39366</x:v>
      </x:c>
      <x:c r="G339" s="8" t="n">
        <x:f>E339*F339</x:f>
        <x:v>93565730.36842105</x:v>
      </x:c>
      <x:c r="H339" s="10" t="n">
        <x:f>F339/SUMIF($C$2:$C$403,C339,$F$2:$F$403)</x:f>
        <x:v>0.43352238312868235</x:v>
      </x:c>
      <x:c r="I339" s="2" t="str">
        <x:v>https://statistik.arbeitsagentur.de/Statistikdaten/Detail/201512/iiia6/beschaeftigung-entgelt-entgelt/entgelt-d-0-201512-xlsm.xlsm?__blob=publicationFile&amp;v=2</x:v>
      </x:c>
      <x:c r="J339" s="2" t="str">
        <x:v>https://statistik.arbeitsagentur.de/Statistikdaten/Detail/201512/iiia6/beschaeftigung-sozbe-svb-kreise-merkmale/svb-kreise-merkmale-d-0-201512-xlsx.xlsx?__blob=publicationFile&amp;v=1</x:v>
      </x:c>
      <x:c r="K339" s="2" t="str">
        <x:v>https://www.bbsr.bund.de/BBSR/DE/forschung/raumbeobachtung/Raumabgrenzungen/deutschland/regionen/arbeitsmarktregionen/arbeitsmarktregionen-2017.csv?__blob=publicationFile&amp;v=2</x:v>
      </x:c>
    </x:row>
    <x:row r="340" ht="24" customHeight="1">
      <x:c r="A340" s="6" t="str">
        <x:v>12068</x:v>
      </x:c>
      <x:c r="B340" s="2" t="str">
        <x:v>Ostprignitz-Ruppin</x:v>
      </x:c>
      <x:c r="C340" s="2" t="n">
        <x:v>213</x:v>
      </x:c>
      <x:c r="D340" s="2" t="str">
        <x:v>Neuruppin</x:v>
      </x:c>
      <x:c r="E340" s="8" t="n">
        <x:v>2186.729674796748</x:v>
      </x:c>
      <x:c r="F340" s="7" t="n">
        <x:v>24314</x:v>
      </x:c>
      <x:c r="G340" s="8" t="n">
        <x:f>E340*F340</x:f>
        <x:v>53168145.31300813</x:v>
      </x:c>
      <x:c r="H340" s="10" t="n">
        <x:f>F340/SUMIF($C$2:$C$403,C340,$F$2:$F$403)</x:f>
        <x:v>1</x:v>
      </x:c>
      <x:c r="I340" s="2" t="str">
        <x:v>https://statistik.arbeitsagentur.de/Statistikdaten/Detail/201512/iiia6/beschaeftigung-entgelt-entgelt/entgelt-d-0-201512-xlsm.xlsm?__blob=publicationFile&amp;v=2</x:v>
      </x:c>
      <x:c r="J340" s="2" t="str">
        <x:v>https://statistik.arbeitsagentur.de/Statistikdaten/Detail/201512/iiia6/beschaeftigung-sozbe-svb-kreise-merkmale/svb-kreise-merkmale-d-0-201512-xlsx.xlsx?__blob=publicationFile&amp;v=1</x:v>
      </x:c>
      <x:c r="K340" s="2" t="str">
        <x:v>https://www.bbsr.bund.de/BBSR/DE/forschung/raumbeobachtung/Raumabgrenzungen/deutschland/regionen/arbeitsmarktregionen/arbeitsmarktregionen-2017.csv?__blob=publicationFile&amp;v=2</x:v>
      </x:c>
    </x:row>
    <x:row r="341" ht="24" customHeight="1">
      <x:c r="A341" s="6" t="str">
        <x:v>12069</x:v>
      </x:c>
      <x:c r="B341" s="2" t="str">
        <x:v>Potsdam-Mittelmark</x:v>
      </x:c>
      <x:c r="C341" s="2" t="n">
        <x:v>206</x:v>
      </x:c>
      <x:c r="D341" s="2" t="str">
        <x:v>Potsdam-Brandenburg</x:v>
      </x:c>
      <x:c r="E341" s="8" t="n">
        <x:v>2302.5497803806734</x:v>
      </x:c>
      <x:c r="F341" s="7" t="n">
        <x:v>41953</x:v>
      </x:c>
      <x:c r="G341" s="8" t="n">
        <x:f>E341*F341</x:f>
        <x:v>96598870.9363104</x:v>
      </x:c>
      <x:c r="H341" s="10" t="n">
        <x:f>F341/SUMIF($C$2:$C$403,C341,$F$2:$F$403)</x:f>
        <x:v>0.2816185700572595</x:v>
      </x:c>
      <x:c r="I341" s="2" t="str">
        <x:v>https://statistik.arbeitsagentur.de/Statistikdaten/Detail/201512/iiia6/beschaeftigung-entgelt-entgelt/entgelt-d-0-201512-xlsm.xlsm?__blob=publicationFile&amp;v=2</x:v>
      </x:c>
      <x:c r="J341" s="2" t="str">
        <x:v>https://statistik.arbeitsagentur.de/Statistikdaten/Detail/201512/iiia6/beschaeftigung-sozbe-svb-kreise-merkmale/svb-kreise-merkmale-d-0-201512-xlsx.xlsx?__blob=publicationFile&amp;v=1</x:v>
      </x:c>
      <x:c r="K341" s="2" t="str">
        <x:v>https://www.bbsr.bund.de/BBSR/DE/forschung/raumbeobachtung/Raumabgrenzungen/deutschland/regionen/arbeitsmarktregionen/arbeitsmarktregionen-2017.csv?__blob=publicationFile&amp;v=2</x:v>
      </x:c>
    </x:row>
    <x:row r="342" ht="24" customHeight="1">
      <x:c r="A342" s="6" t="str">
        <x:v>12070</x:v>
      </x:c>
      <x:c r="B342" s="2" t="str">
        <x:v>Prignitz</x:v>
      </x:c>
      <x:c r="C342" s="2" t="n">
        <x:v>214</x:v>
      </x:c>
      <x:c r="D342" s="2" t="str">
        <x:v>Perleberg</x:v>
      </x:c>
      <x:c r="E342" s="8" t="n">
        <x:v>2106.4602649006624</x:v>
      </x:c>
      <x:c r="F342" s="7" t="n">
        <x:v>19192</x:v>
      </x:c>
      <x:c r="G342" s="8" t="n">
        <x:f>E342*F342</x:f>
        <x:v>40427185.40397351</x:v>
      </x:c>
      <x:c r="H342" s="10" t="n">
        <x:f>F342/SUMIF($C$2:$C$403,C342,$F$2:$F$403)</x:f>
        <x:v>1</x:v>
      </x:c>
      <x:c r="I342" s="2" t="str">
        <x:v>https://statistik.arbeitsagentur.de/Statistikdaten/Detail/201512/iiia6/beschaeftigung-entgelt-entgelt/entgelt-d-0-201512-xlsm.xlsm?__blob=publicationFile&amp;v=2</x:v>
      </x:c>
      <x:c r="J342" s="2" t="str">
        <x:v>https://statistik.arbeitsagentur.de/Statistikdaten/Detail/201512/iiia6/beschaeftigung-sozbe-svb-kreise-merkmale/svb-kreise-merkmale-d-0-201512-xlsx.xlsx?__blob=publicationFile&amp;v=1</x:v>
      </x:c>
      <x:c r="K342" s="2" t="str">
        <x:v>https://www.bbsr.bund.de/BBSR/DE/forschung/raumbeobachtung/Raumabgrenzungen/deutschland/regionen/arbeitsmarktregionen/arbeitsmarktregionen-2017.csv?__blob=publicationFile&amp;v=2</x:v>
      </x:c>
    </x:row>
    <x:row r="343" ht="24" customHeight="1">
      <x:c r="A343" s="6" t="str">
        <x:v>12071</x:v>
      </x:c>
      <x:c r="B343" s="2" t="str">
        <x:v>Spree-Neiße</x:v>
      </x:c>
      <x:c r="C343" s="2" t="n">
        <x:v>207</x:v>
      </x:c>
      <x:c r="D343" s="2" t="str">
        <x:v>Cottbus</x:v>
      </x:c>
      <x:c r="E343" s="8" t="n">
        <x:v>2428.406976744186</x:v>
      </x:c>
      <x:c r="F343" s="7" t="n">
        <x:v>26550</x:v>
      </x:c>
      <x:c r="G343" s="8" t="n">
        <x:f>E343*F343</x:f>
        <x:v>64474205.23255814</x:v>
      </x:c>
      <x:c r="H343" s="10" t="n">
        <x:f>F343/SUMIF($C$2:$C$403,C343,$F$2:$F$403)</x:f>
        <x:v>0.31296414173562487</x:v>
      </x:c>
      <x:c r="I343" s="2" t="str">
        <x:v>https://statistik.arbeitsagentur.de/Statistikdaten/Detail/201512/iiia6/beschaeftigung-entgelt-entgelt/entgelt-d-0-201512-xlsm.xlsm?__blob=publicationFile&amp;v=2</x:v>
      </x:c>
      <x:c r="J343" s="2" t="str">
        <x:v>https://statistik.arbeitsagentur.de/Statistikdaten/Detail/201512/iiia6/beschaeftigung-sozbe-svb-kreise-merkmale/svb-kreise-merkmale-d-0-201512-xlsx.xlsx?__blob=publicationFile&amp;v=1</x:v>
      </x:c>
      <x:c r="K343" s="2" t="str">
        <x:v>https://www.bbsr.bund.de/BBSR/DE/forschung/raumbeobachtung/Raumabgrenzungen/deutschland/regionen/arbeitsmarktregionen/arbeitsmarktregionen-2017.csv?__blob=publicationFile&amp;v=2</x:v>
      </x:c>
    </x:row>
    <x:row r="344" ht="24" customHeight="1">
      <x:c r="A344" s="6" t="str">
        <x:v>12072</x:v>
      </x:c>
      <x:c r="B344" s="2" t="str">
        <x:v>Teltow-Fläming</x:v>
      </x:c>
      <x:c r="C344" s="2" t="n">
        <x:v>210</x:v>
      </x:c>
      <x:c r="D344" s="2" t="str">
        <x:v>Luckenwalde</x:v>
      </x:c>
      <x:c r="E344" s="8" t="n">
        <x:v>2383.859375</x:v>
      </x:c>
      <x:c r="F344" s="7" t="n">
        <x:v>44567</x:v>
      </x:c>
      <x:c r="G344" s="8" t="n">
        <x:f>E344*F344</x:f>
        <x:v>106241460.765625</x:v>
      </x:c>
      <x:c r="H344" s="10" t="n">
        <x:f>F344/SUMIF($C$2:$C$403,C344,$F$2:$F$403)</x:f>
        <x:v>0.5231052736598707</x:v>
      </x:c>
      <x:c r="I344" s="2" t="str">
        <x:v>https://statistik.arbeitsagentur.de/Statistikdaten/Detail/201512/iiia6/beschaeftigung-entgelt-entgelt/entgelt-d-0-201512-xlsm.xlsm?__blob=publicationFile&amp;v=2</x:v>
      </x:c>
      <x:c r="J344" s="2" t="str">
        <x:v>https://statistik.arbeitsagentur.de/Statistikdaten/Detail/201512/iiia6/beschaeftigung-sozbe-svb-kreise-merkmale/svb-kreise-merkmale-d-0-201512-xlsx.xlsx?__blob=publicationFile&amp;v=1</x:v>
      </x:c>
      <x:c r="K344" s="2" t="str">
        <x:v>https://www.bbsr.bund.de/BBSR/DE/forschung/raumbeobachtung/Raumabgrenzungen/deutschland/regionen/arbeitsmarktregionen/arbeitsmarktregionen-2017.csv?__blob=publicationFile&amp;v=2</x:v>
      </x:c>
    </x:row>
    <x:row r="345" ht="24" customHeight="1">
      <x:c r="A345" s="6" t="str">
        <x:v>12073</x:v>
      </x:c>
      <x:c r="B345" s="2" t="str">
        <x:v>Uckermark</x:v>
      </x:c>
      <x:c r="C345" s="2" t="n">
        <x:v>215</x:v>
      </x:c>
      <x:c r="D345" s="2" t="str">
        <x:v>Prenzlau</x:v>
      </x:c>
      <x:c r="E345" s="8" t="n">
        <x:v>2185.319639278557</x:v>
      </x:c>
      <x:c r="F345" s="7" t="n">
        <x:v>26238</x:v>
      </x:c>
      <x:c r="G345" s="8" t="n">
        <x:f>E345*F345</x:f>
        <x:v>57338416.69539078</x:v>
      </x:c>
      <x:c r="H345" s="10" t="n">
        <x:f>F345/SUMIF($C$2:$C$403,C345,$F$2:$F$403)</x:f>
        <x:v>1</x:v>
      </x:c>
      <x:c r="I345" s="2" t="str">
        <x:v>https://statistik.arbeitsagentur.de/Statistikdaten/Detail/201512/iiia6/beschaeftigung-entgelt-entgelt/entgelt-d-0-201512-xlsm.xlsm?__blob=publicationFile&amp;v=2</x:v>
      </x:c>
      <x:c r="J345" s="2" t="str">
        <x:v>https://statistik.arbeitsagentur.de/Statistikdaten/Detail/201512/iiia6/beschaeftigung-sozbe-svb-kreise-merkmale/svb-kreise-merkmale-d-0-201512-xlsx.xlsx?__blob=publicationFile&amp;v=1</x:v>
      </x:c>
      <x:c r="K345" s="2" t="str">
        <x:v>https://www.bbsr.bund.de/BBSR/DE/forschung/raumbeobachtung/Raumabgrenzungen/deutschland/regionen/arbeitsmarktregionen/arbeitsmarktregionen-2017.csv?__blob=publicationFile&amp;v=2</x:v>
      </x:c>
    </x:row>
    <x:row r="346" ht="24" customHeight="1">
      <x:c r="A346" s="6" t="str">
        <x:v>13003</x:v>
      </x:c>
      <x:c r="B346" s="2" t="str">
        <x:v>Rostock, Hansestadt</x:v>
      </x:c>
      <x:c r="C346" s="2" t="n">
        <x:v>216</x:v>
      </x:c>
      <x:c r="D346" s="2" t="str">
        <x:v>Rostock</x:v>
      </x:c>
      <x:c r="E346" s="8" t="n">
        <x:v>2617.2546948356808</x:v>
      </x:c>
      <x:c r="F346" s="7" t="n">
        <x:v>63679</x:v>
      </x:c>
      <x:c r="G346" s="8" t="n">
        <x:f>E346*F346</x:f>
        <x:v>166664161.71244133</x:v>
      </x:c>
      <x:c r="H346" s="10" t="n">
        <x:f>F346/SUMIF($C$2:$C$403,C346,$F$2:$F$403)</x:f>
        <x:v>0.5836648274092134</x:v>
      </x:c>
      <x:c r="I346" s="2" t="str">
        <x:v>https://statistik.arbeitsagentur.de/Statistikdaten/Detail/201512/iiia6/beschaeftigung-entgelt-entgelt/entgelt-d-0-201512-xlsm.xlsm?__blob=publicationFile&amp;v=2</x:v>
      </x:c>
      <x:c r="J346" s="2" t="str">
        <x:v>https://statistik.arbeitsagentur.de/Statistikdaten/Detail/201512/iiia6/beschaeftigung-sozbe-svb-kreise-merkmale/svb-kreise-merkmale-d-0-201512-xlsx.xlsx?__blob=publicationFile&amp;v=1</x:v>
      </x:c>
      <x:c r="K346" s="2" t="str">
        <x:v>https://www.bbsr.bund.de/BBSR/DE/forschung/raumbeobachtung/Raumabgrenzungen/deutschland/regionen/arbeitsmarktregionen/arbeitsmarktregionen-2017.csv?__blob=publicationFile&amp;v=2</x:v>
      </x:c>
    </x:row>
    <x:row r="347" ht="24" customHeight="1">
      <x:c r="A347" s="6" t="str">
        <x:v>13004</x:v>
      </x:c>
      <x:c r="B347" s="2" t="str">
        <x:v>Schwerin, Landeshauptstadt</x:v>
      </x:c>
      <x:c r="C347" s="2" t="n">
        <x:v>217</x:v>
      </x:c>
      <x:c r="D347" s="2" t="str">
        <x:v>Schwerin</x:v>
      </x:c>
      <x:c r="E347" s="8" t="n">
        <x:v>2665.2268408551067</x:v>
      </x:c>
      <x:c r="F347" s="7" t="n">
        <x:v>35522</x:v>
      </x:c>
      <x:c r="G347" s="8" t="n">
        <x:f>E347*F347</x:f>
        <x:v>94674187.8408551</x:v>
      </x:c>
      <x:c r="H347" s="10" t="n">
        <x:f>F347/SUMIF($C$2:$C$403,C347,$F$2:$F$403)</x:f>
        <x:v>0.3068086613289111</x:v>
      </x:c>
      <x:c r="I347" s="2" t="str">
        <x:v>https://statistik.arbeitsagentur.de/Statistikdaten/Detail/201512/iiia6/beschaeftigung-entgelt-entgelt/entgelt-d-0-201512-xlsm.xlsm?__blob=publicationFile&amp;v=2</x:v>
      </x:c>
      <x:c r="J347" s="2" t="str">
        <x:v>https://statistik.arbeitsagentur.de/Statistikdaten/Detail/201512/iiia6/beschaeftigung-sozbe-svb-kreise-merkmale/svb-kreise-merkmale-d-0-201512-xlsx.xlsx?__blob=publicationFile&amp;v=1</x:v>
      </x:c>
      <x:c r="K347" s="2" t="str">
        <x:v>https://www.bbsr.bund.de/BBSR/DE/forschung/raumbeobachtung/Raumabgrenzungen/deutschland/regionen/arbeitsmarktregionen/arbeitsmarktregionen-2017.csv?__blob=publicationFile&amp;v=2</x:v>
      </x:c>
    </x:row>
    <x:row r="348" ht="24" customHeight="1">
      <x:c r="A348" s="6" t="str">
        <x:v>13071</x:v>
      </x:c>
      <x:c r="B348" s="2" t="str">
        <x:v>Mecklenburgische Seenplatte</x:v>
      </x:c>
      <x:c r="C348" s="2" t="n">
        <x:v>218</x:v>
      </x:c>
      <x:c r="D348" s="2" t="str">
        <x:v>Mecklenburgische Seenplatte</x:v>
      </x:c>
      <x:c r="E348" s="8" t="n">
        <x:v>2193.871059013743</x:v>
      </x:c>
      <x:c r="F348" s="7" t="n">
        <x:v>64510</x:v>
      </x:c>
      <x:c r="G348" s="8" t="n">
        <x:f>E348*F348</x:f>
        <x:v>141526622.01697657</x:v>
      </x:c>
      <x:c r="H348" s="10" t="n">
        <x:f>F348/SUMIF($C$2:$C$403,C348,$F$2:$F$403)</x:f>
        <x:v>1</x:v>
      </x:c>
      <x:c r="I348" s="2" t="str">
        <x:v>https://statistik.arbeitsagentur.de/Statistikdaten/Detail/201512/iiia6/beschaeftigung-entgelt-entgelt/entgelt-d-0-201512-xlsm.xlsm?__blob=publicationFile&amp;v=2</x:v>
      </x:c>
      <x:c r="J348" s="2" t="str">
        <x:v>https://statistik.arbeitsagentur.de/Statistikdaten/Detail/201512/iiia6/beschaeftigung-sozbe-svb-kreise-merkmale/svb-kreise-merkmale-d-0-201512-xlsx.xlsx?__blob=publicationFile&amp;v=1</x:v>
      </x:c>
      <x:c r="K348" s="2" t="str">
        <x:v>https://www.bbsr.bund.de/BBSR/DE/forschung/raumbeobachtung/Raumabgrenzungen/deutschland/regionen/arbeitsmarktregionen/arbeitsmarktregionen-2017.csv?__blob=publicationFile&amp;v=2</x:v>
      </x:c>
    </x:row>
    <x:row r="349" ht="24" customHeight="1">
      <x:c r="A349" s="6" t="str">
        <x:v>13072</x:v>
      </x:c>
      <x:c r="B349" s="2" t="str">
        <x:v>Landkreis Rostock</x:v>
      </x:c>
      <x:c r="C349" s="2" t="n">
        <x:v>216</x:v>
      </x:c>
      <x:c r="D349" s="2" t="str">
        <x:v>Rostock</x:v>
      </x:c>
      <x:c r="E349" s="8" t="n">
        <x:v>2105.154255319149</x:v>
      </x:c>
      <x:c r="F349" s="7" t="n">
        <x:v>45423</x:v>
      </x:c>
      <x:c r="G349" s="8" t="n">
        <x:f>E349*F349</x:f>
        <x:v>95622421.7393617</x:v>
      </x:c>
      <x:c r="H349" s="10" t="n">
        <x:f>F349/SUMIF($C$2:$C$403,C349,$F$2:$F$403)</x:f>
        <x:v>0.4163351725907866</x:v>
      </x:c>
      <x:c r="I349" s="2" t="str">
        <x:v>https://statistik.arbeitsagentur.de/Statistikdaten/Detail/201512/iiia6/beschaeftigung-entgelt-entgelt/entgelt-d-0-201512-xlsm.xlsm?__blob=publicationFile&amp;v=2</x:v>
      </x:c>
      <x:c r="J349" s="2" t="str">
        <x:v>https://statistik.arbeitsagentur.de/Statistikdaten/Detail/201512/iiia6/beschaeftigung-sozbe-svb-kreise-merkmale/svb-kreise-merkmale-d-0-201512-xlsx.xlsx?__blob=publicationFile&amp;v=1</x:v>
      </x:c>
      <x:c r="K349" s="2" t="str">
        <x:v>https://www.bbsr.bund.de/BBSR/DE/forschung/raumbeobachtung/Raumabgrenzungen/deutschland/regionen/arbeitsmarktregionen/arbeitsmarktregionen-2017.csv?__blob=publicationFile&amp;v=2</x:v>
      </x:c>
    </x:row>
    <x:row r="350" ht="24" customHeight="1">
      <x:c r="A350" s="6" t="str">
        <x:v>13073</x:v>
      </x:c>
      <x:c r="B350" s="2" t="str">
        <x:v>Vorpommern-Rügen</x:v>
      </x:c>
      <x:c r="C350" s="2" t="n">
        <x:v>219</x:v>
      </x:c>
      <x:c r="D350" s="2" t="str">
        <x:v>Nordvorpommern</x:v>
      </x:c>
      <x:c r="E350" s="8" t="n">
        <x:v>2056.2894736842104</x:v>
      </x:c>
      <x:c r="F350" s="7" t="n">
        <x:v>49381</x:v>
      </x:c>
      <x:c r="G350" s="8" t="n">
        <x:f>E350*F350</x:f>
        <x:v>101541630.5</x:v>
      </x:c>
      <x:c r="H350" s="10" t="n">
        <x:f>F350/SUMIF($C$2:$C$403,C350,$F$2:$F$403)</x:f>
        <x:v>1</x:v>
      </x:c>
      <x:c r="I350" s="2" t="str">
        <x:v>https://statistik.arbeitsagentur.de/Statistikdaten/Detail/201512/iiia6/beschaeftigung-entgelt-entgelt/entgelt-d-0-201512-xlsm.xlsm?__blob=publicationFile&amp;v=2</x:v>
      </x:c>
      <x:c r="J350" s="2" t="str">
        <x:v>https://statistik.arbeitsagentur.de/Statistikdaten/Detail/201512/iiia6/beschaeftigung-sozbe-svb-kreise-merkmale/svb-kreise-merkmale-d-0-201512-xlsx.xlsx?__blob=publicationFile&amp;v=1</x:v>
      </x:c>
      <x:c r="K350" s="2" t="str">
        <x:v>https://www.bbsr.bund.de/BBSR/DE/forschung/raumbeobachtung/Raumabgrenzungen/deutschland/regionen/arbeitsmarktregionen/arbeitsmarktregionen-2017.csv?__blob=publicationFile&amp;v=2</x:v>
      </x:c>
    </x:row>
    <x:row r="351" ht="24" customHeight="1">
      <x:c r="A351" s="6" t="str">
        <x:v>13074</x:v>
      </x:c>
      <x:c r="B351" s="2" t="str">
        <x:v>Nordwestmecklenburg</x:v>
      </x:c>
      <x:c r="C351" s="2" t="n">
        <x:v>217</x:v>
      </x:c>
      <x:c r="D351" s="2" t="str">
        <x:v>Schwerin</x:v>
      </x:c>
      <x:c r="E351" s="8" t="n">
        <x:v>2352.695945945946</x:v>
      </x:c>
      <x:c r="F351" s="7" t="n">
        <x:v>32638</x:v>
      </x:c>
      <x:c r="G351" s="8" t="n">
        <x:f>E351*F351</x:f>
        <x:v>76787290.28378378</x:v>
      </x:c>
      <x:c r="H351" s="10" t="n">
        <x:f>F351/SUMIF($C$2:$C$403,C351,$F$2:$F$403)</x:f>
        <x:v>0.28189913542179496</x:v>
      </x:c>
      <x:c r="I351" s="2" t="str">
        <x:v>https://statistik.arbeitsagentur.de/Statistikdaten/Detail/201512/iiia6/beschaeftigung-entgelt-entgelt/entgelt-d-0-201512-xlsm.xlsm?__blob=publicationFile&amp;v=2</x:v>
      </x:c>
      <x:c r="J351" s="2" t="str">
        <x:v>https://statistik.arbeitsagentur.de/Statistikdaten/Detail/201512/iiia6/beschaeftigung-sozbe-svb-kreise-merkmale/svb-kreise-merkmale-d-0-201512-xlsx.xlsx?__blob=publicationFile&amp;v=1</x:v>
      </x:c>
      <x:c r="K351" s="2" t="str">
        <x:v>https://www.bbsr.bund.de/BBSR/DE/forschung/raumbeobachtung/Raumabgrenzungen/deutschland/regionen/arbeitsmarktregionen/arbeitsmarktregionen-2017.csv?__blob=publicationFile&amp;v=2</x:v>
      </x:c>
    </x:row>
    <x:row r="352" ht="24" customHeight="1">
      <x:c r="A352" s="6" t="str">
        <x:v>13075</x:v>
      </x:c>
      <x:c r="B352" s="2" t="str">
        <x:v>Vorpommern-Greifswald</x:v>
      </x:c>
      <x:c r="C352" s="2" t="n">
        <x:v>220</x:v>
      </x:c>
      <x:c r="D352" s="2" t="str">
        <x:v>Südvorpommern</x:v>
      </x:c>
      <x:c r="E352" s="8" t="n">
        <x:v>2133.8161157024792</x:v>
      </x:c>
      <x:c r="F352" s="7" t="n">
        <x:v>54375</x:v>
      </x:c>
      <x:c r="G352" s="8" t="n">
        <x:f>E352*F352</x:f>
        <x:v>116026251.2913223</x:v>
      </x:c>
      <x:c r="H352" s="10" t="n">
        <x:f>F352/SUMIF($C$2:$C$403,C352,$F$2:$F$403)</x:f>
        <x:v>1</x:v>
      </x:c>
      <x:c r="I352" s="2" t="str">
        <x:v>https://statistik.arbeitsagentur.de/Statistikdaten/Detail/201512/iiia6/beschaeftigung-entgelt-entgelt/entgelt-d-0-201512-xlsm.xlsm?__blob=publicationFile&amp;v=2</x:v>
      </x:c>
      <x:c r="J352" s="2" t="str">
        <x:v>https://statistik.arbeitsagentur.de/Statistikdaten/Detail/201512/iiia6/beschaeftigung-sozbe-svb-kreise-merkmale/svb-kreise-merkmale-d-0-201512-xlsx.xlsx?__blob=publicationFile&amp;v=1</x:v>
      </x:c>
      <x:c r="K352" s="2" t="str">
        <x:v>https://www.bbsr.bund.de/BBSR/DE/forschung/raumbeobachtung/Raumabgrenzungen/deutschland/regionen/arbeitsmarktregionen/arbeitsmarktregionen-2017.csv?__blob=publicationFile&amp;v=2</x:v>
      </x:c>
    </x:row>
    <x:row r="353" ht="24" customHeight="1">
      <x:c r="A353" s="6" t="str">
        <x:v>13076</x:v>
      </x:c>
      <x:c r="B353" s="2" t="str">
        <x:v>Ludwigslust-Parchim</x:v>
      </x:c>
      <x:c r="C353" s="2" t="n">
        <x:v>217</x:v>
      </x:c>
      <x:c r="D353" s="2" t="str">
        <x:v>Schwerin</x:v>
      </x:c>
      <x:c r="E353" s="8" t="n">
        <x:v>2144.7323481116587</x:v>
      </x:c>
      <x:c r="F353" s="7" t="n">
        <x:v>47619</x:v>
      </x:c>
      <x:c r="G353" s="8" t="n">
        <x:f>E353*F353</x:f>
        <x:v>102130009.68472907</x:v>
      </x:c>
      <x:c r="H353" s="10" t="n">
        <x:f>F353/SUMIF($C$2:$C$403,C353,$F$2:$F$403)</x:f>
        <x:v>0.4112922032492939</x:v>
      </x:c>
      <x:c r="I353" s="2" t="str">
        <x:v>https://statistik.arbeitsagentur.de/Statistikdaten/Detail/201512/iiia6/beschaeftigung-entgelt-entgelt/entgelt-d-0-201512-xlsm.xlsm?__blob=publicationFile&amp;v=2</x:v>
      </x:c>
      <x:c r="J353" s="2" t="str">
        <x:v>https://statistik.arbeitsagentur.de/Statistikdaten/Detail/201512/iiia6/beschaeftigung-sozbe-svb-kreise-merkmale/svb-kreise-merkmale-d-0-201512-xlsx.xlsx?__blob=publicationFile&amp;v=1</x:v>
      </x:c>
      <x:c r="K353" s="2" t="str">
        <x:v>https://www.bbsr.bund.de/BBSR/DE/forschung/raumbeobachtung/Raumabgrenzungen/deutschland/regionen/arbeitsmarktregionen/arbeitsmarktregionen-2017.csv?__blob=publicationFile&amp;v=2</x:v>
      </x:c>
    </x:row>
    <x:row r="354" ht="24" customHeight="1">
      <x:c r="A354" s="6" t="str">
        <x:v>14511</x:v>
      </x:c>
      <x:c r="B354" s="2" t="str">
        <x:v>Chemnitz, Stadt</x:v>
      </x:c>
      <x:c r="C354" s="2" t="n">
        <x:v>221</x:v>
      </x:c>
      <x:c r="D354" s="2" t="str">
        <x:v>Chemnitz</x:v>
      </x:c>
      <x:c r="E354" s="8" t="n">
        <x:v>2480.9347826086955</x:v>
      </x:c>
      <x:c r="F354" s="7" t="n">
        <x:v>81116</x:v>
      </x:c>
      <x:c r="G354" s="8" t="n">
        <x:f>E354*F354</x:f>
        <x:v>201243505.82608694</x:v>
      </x:c>
      <x:c r="H354" s="10" t="n">
        <x:f>F354/SUMIF($C$2:$C$403,C354,$F$2:$F$403)</x:f>
        <x:v>1</x:v>
      </x:c>
      <x:c r="I354" s="2" t="str">
        <x:v>https://statistik.arbeitsagentur.de/Statistikdaten/Detail/201512/iiia6/beschaeftigung-entgelt-entgelt/entgelt-d-0-201512-xlsm.xlsm?__blob=publicationFile&amp;v=2</x:v>
      </x:c>
      <x:c r="J354" s="2" t="str">
        <x:v>https://statistik.arbeitsagentur.de/Statistikdaten/Detail/201512/iiia6/beschaeftigung-sozbe-svb-kreise-merkmale/svb-kreise-merkmale-d-0-201512-xlsx.xlsx?__blob=publicationFile&amp;v=1</x:v>
      </x:c>
      <x:c r="K354" s="2" t="str">
        <x:v>https://www.bbsr.bund.de/BBSR/DE/forschung/raumbeobachtung/Raumabgrenzungen/deutschland/regionen/arbeitsmarktregionen/arbeitsmarktregionen-2017.csv?__blob=publicationFile&amp;v=2</x:v>
      </x:c>
    </x:row>
    <x:row r="355" ht="24" customHeight="1">
      <x:c r="A355" s="6" t="str">
        <x:v>14521</x:v>
      </x:c>
      <x:c r="B355" s="2" t="str">
        <x:v>Erzgebirgskreis</x:v>
      </x:c>
      <x:c r="C355" s="2" t="n">
        <x:v>222</x:v>
      </x:c>
      <x:c r="D355" s="2" t="str">
        <x:v>Erzgebirgskreis</x:v>
      </x:c>
      <x:c r="E355" s="8" t="n">
        <x:v>2036.315868263473</x:v>
      </x:c>
      <x:c r="F355" s="7" t="n">
        <x:v>78396</x:v>
      </x:c>
      <x:c r="G355" s="8" t="n">
        <x:f>E355*F355</x:f>
        <x:v>159639018.80838323</x:v>
      </x:c>
      <x:c r="H355" s="10" t="n">
        <x:f>F355/SUMIF($C$2:$C$403,C355,$F$2:$F$403)</x:f>
        <x:v>1</x:v>
      </x:c>
      <x:c r="I355" s="2" t="str">
        <x:v>https://statistik.arbeitsagentur.de/Statistikdaten/Detail/201512/iiia6/beschaeftigung-entgelt-entgelt/entgelt-d-0-201512-xlsm.xlsm?__blob=publicationFile&amp;v=2</x:v>
      </x:c>
      <x:c r="J355" s="2" t="str">
        <x:v>https://statistik.arbeitsagentur.de/Statistikdaten/Detail/201512/iiia6/beschaeftigung-sozbe-svb-kreise-merkmale/svb-kreise-merkmale-d-0-201512-xlsx.xlsx?__blob=publicationFile&amp;v=1</x:v>
      </x:c>
      <x:c r="K355" s="2" t="str">
        <x:v>https://www.bbsr.bund.de/BBSR/DE/forschung/raumbeobachtung/Raumabgrenzungen/deutschland/regionen/arbeitsmarktregionen/arbeitsmarktregionen-2017.csv?__blob=publicationFile&amp;v=2</x:v>
      </x:c>
    </x:row>
    <x:row r="356" ht="24" customHeight="1">
      <x:c r="A356" s="6" t="str">
        <x:v>14522</x:v>
      </x:c>
      <x:c r="B356" s="2" t="str">
        <x:v>Mittelsachsen</x:v>
      </x:c>
      <x:c r="C356" s="2" t="n">
        <x:v>223</x:v>
      </x:c>
      <x:c r="D356" s="2" t="str">
        <x:v>Mittelsachsen</x:v>
      </x:c>
      <x:c r="E356" s="8" t="n">
        <x:v>2110.153890160183</x:v>
      </x:c>
      <x:c r="F356" s="7" t="n">
        <x:v>81304</x:v>
      </x:c>
      <x:c r="G356" s="8" t="n">
        <x:f>E356*F356</x:f>
        <x:v>171563951.88558352</x:v>
      </x:c>
      <x:c r="H356" s="10" t="n">
        <x:f>F356/SUMIF($C$2:$C$403,C356,$F$2:$F$403)</x:f>
        <x:v>1</x:v>
      </x:c>
      <x:c r="I356" s="2" t="str">
        <x:v>https://statistik.arbeitsagentur.de/Statistikdaten/Detail/201512/iiia6/beschaeftigung-entgelt-entgelt/entgelt-d-0-201512-xlsm.xlsm?__blob=publicationFile&amp;v=2</x:v>
      </x:c>
      <x:c r="J356" s="2" t="str">
        <x:v>https://statistik.arbeitsagentur.de/Statistikdaten/Detail/201512/iiia6/beschaeftigung-sozbe-svb-kreise-merkmale/svb-kreise-merkmale-d-0-201512-xlsx.xlsx?__blob=publicationFile&amp;v=1</x:v>
      </x:c>
      <x:c r="K356" s="2" t="str">
        <x:v>https://www.bbsr.bund.de/BBSR/DE/forschung/raumbeobachtung/Raumabgrenzungen/deutschland/regionen/arbeitsmarktregionen/arbeitsmarktregionen-2017.csv?__blob=publicationFile&amp;v=2</x:v>
      </x:c>
    </x:row>
    <x:row r="357" ht="24" customHeight="1">
      <x:c r="A357" s="6" t="str">
        <x:v>14523</x:v>
      </x:c>
      <x:c r="B357" s="2" t="str">
        <x:v>Vogtlandkreis</x:v>
      </x:c>
      <x:c r="C357" s="2" t="n">
        <x:v>224</x:v>
      </x:c>
      <x:c r="D357" s="2" t="str">
        <x:v>Vogtlandkreis</x:v>
      </x:c>
      <x:c r="E357" s="8" t="n">
        <x:v>2095.444029850746</x:v>
      </x:c>
      <x:c r="F357" s="7" t="n">
        <x:v>55837</x:v>
      </x:c>
      <x:c r="G357" s="8" t="n">
        <x:f>E357*F357</x:f>
        <x:v>117003308.29477611</x:v>
      </x:c>
      <x:c r="H357" s="10" t="n">
        <x:f>F357/SUMIF($C$2:$C$403,C357,$F$2:$F$403)</x:f>
        <x:v>1</x:v>
      </x:c>
      <x:c r="I357" s="2" t="str">
        <x:v>https://statistik.arbeitsagentur.de/Statistikdaten/Detail/201512/iiia6/beschaeftigung-entgelt-entgelt/entgelt-d-0-201512-xlsm.xlsm?__blob=publicationFile&amp;v=2</x:v>
      </x:c>
      <x:c r="J357" s="2" t="str">
        <x:v>https://statistik.arbeitsagentur.de/Statistikdaten/Detail/201512/iiia6/beschaeftigung-sozbe-svb-kreise-merkmale/svb-kreise-merkmale-d-0-201512-xlsx.xlsx?__blob=publicationFile&amp;v=1</x:v>
      </x:c>
      <x:c r="K357" s="2" t="str">
        <x:v>https://www.bbsr.bund.de/BBSR/DE/forschung/raumbeobachtung/Raumabgrenzungen/deutschland/regionen/arbeitsmarktregionen/arbeitsmarktregionen-2017.csv?__blob=publicationFile&amp;v=2</x:v>
      </x:c>
    </x:row>
    <x:row r="358" ht="24" customHeight="1">
      <x:c r="A358" s="6" t="str">
        <x:v>14524</x:v>
      </x:c>
      <x:c r="B358" s="2" t="str">
        <x:v>Zwickau</x:v>
      </x:c>
      <x:c r="C358" s="2" t="n">
        <x:v>225</x:v>
      </x:c>
      <x:c r="D358" s="2" t="str">
        <x:v>Zwickau</x:v>
      </x:c>
      <x:c r="E358" s="8" t="n">
        <x:v>2350.22733469666</x:v>
      </x:c>
      <x:c r="F358" s="7" t="n">
        <x:v>91565</x:v>
      </x:c>
      <x:c r="G358" s="8" t="n">
        <x:f>E358*F358</x:f>
        <x:v>215198565.90149966</x:v>
      </x:c>
      <x:c r="H358" s="10" t="n">
        <x:f>F358/SUMIF($C$2:$C$403,C358,$F$2:$F$403)</x:f>
        <x:v>1</x:v>
      </x:c>
      <x:c r="I358" s="2" t="str">
        <x:v>https://statistik.arbeitsagentur.de/Statistikdaten/Detail/201512/iiia6/beschaeftigung-entgelt-entgelt/entgelt-d-0-201512-xlsm.xlsm?__blob=publicationFile&amp;v=2</x:v>
      </x:c>
      <x:c r="J358" s="2" t="str">
        <x:v>https://statistik.arbeitsagentur.de/Statistikdaten/Detail/201512/iiia6/beschaeftigung-sozbe-svb-kreise-merkmale/svb-kreise-merkmale-d-0-201512-xlsx.xlsx?__blob=publicationFile&amp;v=1</x:v>
      </x:c>
      <x:c r="K358" s="2" t="str">
        <x:v>https://www.bbsr.bund.de/BBSR/DE/forschung/raumbeobachtung/Raumabgrenzungen/deutschland/regionen/arbeitsmarktregionen/arbeitsmarktregionen-2017.csv?__blob=publicationFile&amp;v=2</x:v>
      </x:c>
    </x:row>
    <x:row r="359" ht="24" customHeight="1">
      <x:c r="A359" s="6" t="str">
        <x:v>14612</x:v>
      </x:c>
      <x:c r="B359" s="2" t="str">
        <x:v>Dresden, Stadt</x:v>
      </x:c>
      <x:c r="C359" s="2" t="n">
        <x:v>226</x:v>
      </x:c>
      <x:c r="D359" s="2" t="str">
        <x:v>Dresden</x:v>
      </x:c>
      <x:c r="E359" s="8" t="n">
        <x:v>2858.3936170212764</x:v>
      </x:c>
      <x:c r="F359" s="7" t="n">
        <x:v>180152</x:v>
      </x:c>
      <x:c r="G359" s="8" t="n">
        <x:f>E359*F359</x:f>
        <x:v>514945326.893617</x:v>
      </x:c>
      <x:c r="H359" s="10" t="n">
        <x:f>F359/SUMIF($C$2:$C$403,C359,$F$2:$F$403)</x:f>
        <x:v>0.7669861164920407</x:v>
      </x:c>
      <x:c r="I359" s="2" t="str">
        <x:v>https://statistik.arbeitsagentur.de/Statistikdaten/Detail/201512/iiia6/beschaeftigung-entgelt-entgelt/entgelt-d-0-201512-xlsm.xlsm?__blob=publicationFile&amp;v=2</x:v>
      </x:c>
      <x:c r="J359" s="2" t="str">
        <x:v>https://statistik.arbeitsagentur.de/Statistikdaten/Detail/201512/iiia6/beschaeftigung-sozbe-svb-kreise-merkmale/svb-kreise-merkmale-d-0-201512-xlsx.xlsx?__blob=publicationFile&amp;v=1</x:v>
      </x:c>
      <x:c r="K359" s="2" t="str">
        <x:v>https://www.bbsr.bund.de/BBSR/DE/forschung/raumbeobachtung/Raumabgrenzungen/deutschland/regionen/arbeitsmarktregionen/arbeitsmarktregionen-2017.csv?__blob=publicationFile&amp;v=2</x:v>
      </x:c>
    </x:row>
    <x:row r="360" ht="24" customHeight="1">
      <x:c r="A360" s="6" t="str">
        <x:v>14625</x:v>
      </x:c>
      <x:c r="B360" s="2" t="str">
        <x:v>Bautzen</x:v>
      </x:c>
      <x:c r="C360" s="2" t="n">
        <x:v>227</x:v>
      </x:c>
      <x:c r="D360" s="2" t="str">
        <x:v>Bautzen</x:v>
      </x:c>
      <x:c r="E360" s="8" t="n">
        <x:v>2133.8333333333335</x:v>
      </x:c>
      <x:c r="F360" s="7" t="n">
        <x:v>78731</x:v>
      </x:c>
      <x:c r="G360" s="8" t="n">
        <x:f>E360*F360</x:f>
        <x:v>167998832.1666667</x:v>
      </x:c>
      <x:c r="H360" s="10" t="n">
        <x:f>F360/SUMIF($C$2:$C$403,C360,$F$2:$F$403)</x:f>
        <x:v>1</x:v>
      </x:c>
      <x:c r="I360" s="2" t="str">
        <x:v>https://statistik.arbeitsagentur.de/Statistikdaten/Detail/201512/iiia6/beschaeftigung-entgelt-entgelt/entgelt-d-0-201512-xlsm.xlsm?__blob=publicationFile&amp;v=2</x:v>
      </x:c>
      <x:c r="J360" s="2" t="str">
        <x:v>https://statistik.arbeitsagentur.de/Statistikdaten/Detail/201512/iiia6/beschaeftigung-sozbe-svb-kreise-merkmale/svb-kreise-merkmale-d-0-201512-xlsx.xlsx?__blob=publicationFile&amp;v=1</x:v>
      </x:c>
      <x:c r="K360" s="2" t="str">
        <x:v>https://www.bbsr.bund.de/BBSR/DE/forschung/raumbeobachtung/Raumabgrenzungen/deutschland/regionen/arbeitsmarktregionen/arbeitsmarktregionen-2017.csv?__blob=publicationFile&amp;v=2</x:v>
      </x:c>
    </x:row>
    <x:row r="361" ht="24" customHeight="1">
      <x:c r="A361" s="6" t="str">
        <x:v>14626</x:v>
      </x:c>
      <x:c r="B361" s="2" t="str">
        <x:v>Görlitz</x:v>
      </x:c>
      <x:c r="C361" s="2" t="n">
        <x:v>228</x:v>
      </x:c>
      <x:c r="D361" s="2" t="str">
        <x:v>Görlitz</x:v>
      </x:c>
      <x:c r="E361" s="8" t="n">
        <x:v>2067.11002548853</x:v>
      </x:c>
      <x:c r="F361" s="7" t="n">
        <x:v>55026</x:v>
      </x:c>
      <x:c r="G361" s="8" t="n">
        <x:f>E361*F361</x:f>
        <x:v>113744796.26253185</x:v>
      </x:c>
      <x:c r="H361" s="10" t="n">
        <x:f>F361/SUMIF($C$2:$C$403,C361,$F$2:$F$403)</x:f>
        <x:v>1</x:v>
      </x:c>
      <x:c r="I361" s="2" t="str">
        <x:v>https://statistik.arbeitsagentur.de/Statistikdaten/Detail/201512/iiia6/beschaeftigung-entgelt-entgelt/entgelt-d-0-201512-xlsm.xlsm?__blob=publicationFile&amp;v=2</x:v>
      </x:c>
      <x:c r="J361" s="2" t="str">
        <x:v>https://statistik.arbeitsagentur.de/Statistikdaten/Detail/201512/iiia6/beschaeftigung-sozbe-svb-kreise-merkmale/svb-kreise-merkmale-d-0-201512-xlsx.xlsx?__blob=publicationFile&amp;v=1</x:v>
      </x:c>
      <x:c r="K361" s="2" t="str">
        <x:v>https://www.bbsr.bund.de/BBSR/DE/forschung/raumbeobachtung/Raumabgrenzungen/deutschland/regionen/arbeitsmarktregionen/arbeitsmarktregionen-2017.csv?__blob=publicationFile&amp;v=2</x:v>
      </x:c>
    </x:row>
    <x:row r="362" ht="24" customHeight="1">
      <x:c r="A362" s="6" t="str">
        <x:v>14627</x:v>
      </x:c>
      <x:c r="B362" s="2" t="str">
        <x:v>Meißen</x:v>
      </x:c>
      <x:c r="C362" s="2" t="n">
        <x:v>229</x:v>
      </x:c>
      <x:c r="D362" s="2" t="str">
        <x:v>Meißen</x:v>
      </x:c>
      <x:c r="E362" s="8" t="n">
        <x:v>2273.1455479452056</x:v>
      </x:c>
      <x:c r="F362" s="7" t="n">
        <x:v>64680</x:v>
      </x:c>
      <x:c r="G362" s="8" t="n">
        <x:f>E362*F362</x:f>
        <x:v>147027054.0410959</x:v>
      </x:c>
      <x:c r="H362" s="10" t="n">
        <x:f>F362/SUMIF($C$2:$C$403,C362,$F$2:$F$403)</x:f>
        <x:v>1</x:v>
      </x:c>
      <x:c r="I362" s="2" t="str">
        <x:v>https://statistik.arbeitsagentur.de/Statistikdaten/Detail/201512/iiia6/beschaeftigung-entgelt-entgelt/entgelt-d-0-201512-xlsm.xlsm?__blob=publicationFile&amp;v=2</x:v>
      </x:c>
      <x:c r="J362" s="2" t="str">
        <x:v>https://statistik.arbeitsagentur.de/Statistikdaten/Detail/201512/iiia6/beschaeftigung-sozbe-svb-kreise-merkmale/svb-kreise-merkmale-d-0-201512-xlsx.xlsx?__blob=publicationFile&amp;v=1</x:v>
      </x:c>
      <x:c r="K362" s="2" t="str">
        <x:v>https://www.bbsr.bund.de/BBSR/DE/forschung/raumbeobachtung/Raumabgrenzungen/deutschland/regionen/arbeitsmarktregionen/arbeitsmarktregionen-2017.csv?__blob=publicationFile&amp;v=2</x:v>
      </x:c>
    </x:row>
    <x:row r="363" ht="24" customHeight="1">
      <x:c r="A363" s="6" t="str">
        <x:v>14628</x:v>
      </x:c>
      <x:c r="B363" s="2" t="str">
        <x:v>Sächs. Schweiz-Osterzgebirge</x:v>
      </x:c>
      <x:c r="C363" s="2" t="n">
        <x:v>226</x:v>
      </x:c>
      <x:c r="D363" s="2" t="str">
        <x:v>Dresden</x:v>
      </x:c>
      <x:c r="E363" s="8" t="n">
        <x:v>2148.1291441788744</x:v>
      </x:c>
      <x:c r="F363" s="7" t="n">
        <x:v>54731</x:v>
      </x:c>
      <x:c r="G363" s="8" t="n">
        <x:f>E363*F363</x:f>
        <x:v>117569256.19005397</x:v>
      </x:c>
      <x:c r="H363" s="10" t="n">
        <x:f>F363/SUMIF($C$2:$C$403,C363,$F$2:$F$403)</x:f>
        <x:v>0.2330138835079593</x:v>
      </x:c>
      <x:c r="I363" s="2" t="str">
        <x:v>https://statistik.arbeitsagentur.de/Statistikdaten/Detail/201512/iiia6/beschaeftigung-entgelt-entgelt/entgelt-d-0-201512-xlsm.xlsm?__blob=publicationFile&amp;v=2</x:v>
      </x:c>
      <x:c r="J363" s="2" t="str">
        <x:v>https://statistik.arbeitsagentur.de/Statistikdaten/Detail/201512/iiia6/beschaeftigung-sozbe-svb-kreise-merkmale/svb-kreise-merkmale-d-0-201512-xlsx.xlsx?__blob=publicationFile&amp;v=1</x:v>
      </x:c>
      <x:c r="K363" s="2" t="str">
        <x:v>https://www.bbsr.bund.de/BBSR/DE/forschung/raumbeobachtung/Raumabgrenzungen/deutschland/regionen/arbeitsmarktregionen/arbeitsmarktregionen-2017.csv?__blob=publicationFile&amp;v=2</x:v>
      </x:c>
    </x:row>
    <x:row r="364" ht="24" customHeight="1">
      <x:c r="A364" s="6" t="str">
        <x:v>14713</x:v>
      </x:c>
      <x:c r="B364" s="2" t="str">
        <x:v>Leipzig, Stadt</x:v>
      </x:c>
      <x:c r="C364" s="2" t="n">
        <x:v>230</x:v>
      </x:c>
      <x:c r="D364" s="2" t="str">
        <x:v>Leipzig</x:v>
      </x:c>
      <x:c r="E364" s="8" t="n">
        <x:v>2643.831795108445</x:v>
      </x:c>
      <x:c r="F364" s="7" t="n">
        <x:v>180578</x:v>
      </x:c>
      <x:c r="G364" s="8" t="n">
        <x:f>E364*F364</x:f>
        <x:v>477417857.89709276</x:v>
      </x:c>
      <x:c r="H364" s="10" t="n">
        <x:f>F364/SUMIF($C$2:$C$403,C364,$F$2:$F$403)</x:f>
        <x:v>0.6341076288297779</x:v>
      </x:c>
      <x:c r="I364" s="2" t="str">
        <x:v>https://statistik.arbeitsagentur.de/Statistikdaten/Detail/201512/iiia6/beschaeftigung-entgelt-entgelt/entgelt-d-0-201512-xlsm.xlsm?__blob=publicationFile&amp;v=2</x:v>
      </x:c>
      <x:c r="J364" s="2" t="str">
        <x:v>https://statistik.arbeitsagentur.de/Statistikdaten/Detail/201512/iiia6/beschaeftigung-sozbe-svb-kreise-merkmale/svb-kreise-merkmale-d-0-201512-xlsx.xlsx?__blob=publicationFile&amp;v=1</x:v>
      </x:c>
      <x:c r="K364" s="2" t="str">
        <x:v>https://www.bbsr.bund.de/BBSR/DE/forschung/raumbeobachtung/Raumabgrenzungen/deutschland/regionen/arbeitsmarktregionen/arbeitsmarktregionen-2017.csv?__blob=publicationFile&amp;v=2</x:v>
      </x:c>
    </x:row>
    <x:row r="365" ht="24" customHeight="1">
      <x:c r="A365" s="6" t="str">
        <x:v>14729</x:v>
      </x:c>
      <x:c r="B365" s="2" t="str">
        <x:v>Leipzig</x:v>
      </x:c>
      <x:c r="C365" s="2" t="n">
        <x:v>230</x:v>
      </x:c>
      <x:c r="D365" s="2" t="str">
        <x:v>Leipzig</x:v>
      </x:c>
      <x:c r="E365" s="8" t="n">
        <x:v>2116.672734970364</x:v>
      </x:c>
      <x:c r="F365" s="7" t="n">
        <x:v>53733</x:v>
      </x:c>
      <x:c r="G365" s="8" t="n">
        <x:f>E365*F365</x:f>
        <x:v>113735176.06816258</x:v>
      </x:c>
      <x:c r="H365" s="10" t="n">
        <x:f>F365/SUMIF($C$2:$C$403,C365,$F$2:$F$403)</x:f>
        <x:v>0.18868580458256518</x:v>
      </x:c>
      <x:c r="I365" s="2" t="str">
        <x:v>https://statistik.arbeitsagentur.de/Statistikdaten/Detail/201512/iiia6/beschaeftigung-entgelt-entgelt/entgelt-d-0-201512-xlsm.xlsm?__blob=publicationFile&amp;v=2</x:v>
      </x:c>
      <x:c r="J365" s="2" t="str">
        <x:v>https://statistik.arbeitsagentur.de/Statistikdaten/Detail/201512/iiia6/beschaeftigung-sozbe-svb-kreise-merkmale/svb-kreise-merkmale-d-0-201512-xlsx.xlsx?__blob=publicationFile&amp;v=1</x:v>
      </x:c>
      <x:c r="K365" s="2" t="str">
        <x:v>https://www.bbsr.bund.de/BBSR/DE/forschung/raumbeobachtung/Raumabgrenzungen/deutschland/regionen/arbeitsmarktregionen/arbeitsmarktregionen-2017.csv?__blob=publicationFile&amp;v=2</x:v>
      </x:c>
    </x:row>
    <x:row r="366" ht="24" customHeight="1">
      <x:c r="A366" s="6" t="str">
        <x:v>14730</x:v>
      </x:c>
      <x:c r="B366" s="2" t="str">
        <x:v>Nordsachsen</x:v>
      </x:c>
      <x:c r="C366" s="2" t="n">
        <x:v>230</x:v>
      </x:c>
      <x:c r="D366" s="2" t="str">
        <x:v>Leipzig</x:v>
      </x:c>
      <x:c r="E366" s="8" t="n">
        <x:v>2230.063492063492</x:v>
      </x:c>
      <x:c r="F366" s="7" t="n">
        <x:v>50464</x:v>
      </x:c>
      <x:c r="G366" s="8" t="n">
        <x:f>E366*F366</x:f>
        <x:v>112537924.06349206</x:v>
      </x:c>
      <x:c r="H366" s="10" t="n">
        <x:f>F366/SUMIF($C$2:$C$403,C366,$F$2:$F$403)</x:f>
        <x:v>0.17720656658765693</x:v>
      </x:c>
      <x:c r="I366" s="2" t="str">
        <x:v>https://statistik.arbeitsagentur.de/Statistikdaten/Detail/201512/iiia6/beschaeftigung-entgelt-entgelt/entgelt-d-0-201512-xlsm.xlsm?__blob=publicationFile&amp;v=2</x:v>
      </x:c>
      <x:c r="J366" s="2" t="str">
        <x:v>https://statistik.arbeitsagentur.de/Statistikdaten/Detail/201512/iiia6/beschaeftigung-sozbe-svb-kreise-merkmale/svb-kreise-merkmale-d-0-201512-xlsx.xlsx?__blob=publicationFile&amp;v=1</x:v>
      </x:c>
      <x:c r="K366" s="2" t="str">
        <x:v>https://www.bbsr.bund.de/BBSR/DE/forschung/raumbeobachtung/Raumabgrenzungen/deutschland/regionen/arbeitsmarktregionen/arbeitsmarktregionen-2017.csv?__blob=publicationFile&amp;v=2</x:v>
      </x:c>
    </x:row>
    <x:row r="367" ht="24" customHeight="1">
      <x:c r="A367" s="6" t="str">
        <x:v>15001</x:v>
      </x:c>
      <x:c r="B367" s="2" t="str">
        <x:v>Dessau-Roßlau, Stadt</x:v>
      </x:c>
      <x:c r="C367" s="2" t="n">
        <x:v>231</x:v>
      </x:c>
      <x:c r="D367" s="2" t="str">
        <x:v>Dessau-Roßlau</x:v>
      </x:c>
      <x:c r="E367" s="8" t="n">
        <x:v>2508.1785714285716</x:v>
      </x:c>
      <x:c r="F367" s="7" t="n">
        <x:v>24049</x:v>
      </x:c>
      <x:c r="G367" s="8" t="n">
        <x:f>E367*F367</x:f>
        <x:v>60319186.46428572</x:v>
      </x:c>
      <x:c r="H367" s="10" t="n">
        <x:f>F367/SUMIF($C$2:$C$403,C367,$F$2:$F$403)</x:f>
        <x:v>1</x:v>
      </x:c>
      <x:c r="I367" s="2" t="str">
        <x:v>https://statistik.arbeitsagentur.de/Statistikdaten/Detail/201512/iiia6/beschaeftigung-entgelt-entgelt/entgelt-d-0-201512-xlsm.xlsm?__blob=publicationFile&amp;v=2</x:v>
      </x:c>
      <x:c r="J367" s="2" t="str">
        <x:v>https://statistik.arbeitsagentur.de/Statistikdaten/Detail/201512/iiia6/beschaeftigung-sozbe-svb-kreise-merkmale/svb-kreise-merkmale-d-0-201512-xlsx.xlsx?__blob=publicationFile&amp;v=1</x:v>
      </x:c>
      <x:c r="K367" s="2" t="str">
        <x:v>https://www.bbsr.bund.de/BBSR/DE/forschung/raumbeobachtung/Raumabgrenzungen/deutschland/regionen/arbeitsmarktregionen/arbeitsmarktregionen-2017.csv?__blob=publicationFile&amp;v=2</x:v>
      </x:c>
    </x:row>
    <x:row r="368" ht="24" customHeight="1">
      <x:c r="A368" s="6" t="str">
        <x:v>15002</x:v>
      </x:c>
      <x:c r="B368" s="2" t="str">
        <x:v>Halle (Saale), Stadt</x:v>
      </x:c>
      <x:c r="C368" s="2" t="n">
        <x:v>232</x:v>
      </x:c>
      <x:c r="D368" s="2" t="str">
        <x:v>Halle</x:v>
      </x:c>
      <x:c r="E368" s="8" t="n">
        <x:v>2669.5093708165996</x:v>
      </x:c>
      <x:c r="F368" s="7" t="n">
        <x:v>64512</x:v>
      </x:c>
      <x:c r="G368" s="8" t="n">
        <x:f>E368*F368</x:f>
        <x:v>172215388.53012046</x:v>
      </x:c>
      <x:c r="H368" s="10" t="n">
        <x:f>F368/SUMIF($C$2:$C$403,C368,$F$2:$F$403)</x:f>
        <x:v>0.5552237264504135</x:v>
      </x:c>
      <x:c r="I368" s="2" t="str">
        <x:v>https://statistik.arbeitsagentur.de/Statistikdaten/Detail/201512/iiia6/beschaeftigung-entgelt-entgelt/entgelt-d-0-201512-xlsm.xlsm?__blob=publicationFile&amp;v=2</x:v>
      </x:c>
      <x:c r="J368" s="2" t="str">
        <x:v>https://statistik.arbeitsagentur.de/Statistikdaten/Detail/201512/iiia6/beschaeftigung-sozbe-svb-kreise-merkmale/svb-kreise-merkmale-d-0-201512-xlsx.xlsx?__blob=publicationFile&amp;v=1</x:v>
      </x:c>
      <x:c r="K368" s="2" t="str">
        <x:v>https://www.bbsr.bund.de/BBSR/DE/forschung/raumbeobachtung/Raumabgrenzungen/deutschland/regionen/arbeitsmarktregionen/arbeitsmarktregionen-2017.csv?__blob=publicationFile&amp;v=2</x:v>
      </x:c>
    </x:row>
    <x:row r="369" ht="24" customHeight="1">
      <x:c r="A369" s="6" t="str">
        <x:v>15003</x:v>
      </x:c>
      <x:c r="B369" s="2" t="str">
        <x:v>Magdeburg, Landeshauptstadt</x:v>
      </x:c>
      <x:c r="C369" s="2" t="n">
        <x:v>233</x:v>
      </x:c>
      <x:c r="D369" s="2" t="str">
        <x:v>Magdeburg</x:v>
      </x:c>
      <x:c r="E369" s="8" t="n">
        <x:v>2613.5676328502414</x:v>
      </x:c>
      <x:c r="F369" s="7" t="n">
        <x:v>73733</x:v>
      </x:c>
      <x:c r="G369" s="8" t="n">
        <x:f>E369*F369</x:f>
        <x:v>192706182.27294683</x:v>
      </x:c>
      <x:c r="H369" s="10" t="n">
        <x:f>F369/SUMIF($C$2:$C$403,C369,$F$2:$F$403)</x:f>
        <x:v>0.5381224501711441</x:v>
      </x:c>
      <x:c r="I369" s="2" t="str">
        <x:v>https://statistik.arbeitsagentur.de/Statistikdaten/Detail/201512/iiia6/beschaeftigung-entgelt-entgelt/entgelt-d-0-201512-xlsm.xlsm?__blob=publicationFile&amp;v=2</x:v>
      </x:c>
      <x:c r="J369" s="2" t="str">
        <x:v>https://statistik.arbeitsagentur.de/Statistikdaten/Detail/201512/iiia6/beschaeftigung-sozbe-svb-kreise-merkmale/svb-kreise-merkmale-d-0-201512-xlsx.xlsx?__blob=publicationFile&amp;v=1</x:v>
      </x:c>
      <x:c r="K369" s="2" t="str">
        <x:v>https://www.bbsr.bund.de/BBSR/DE/forschung/raumbeobachtung/Raumabgrenzungen/deutschland/regionen/arbeitsmarktregionen/arbeitsmarktregionen-2017.csv?__blob=publicationFile&amp;v=2</x:v>
      </x:c>
    </x:row>
    <x:row r="370" ht="24" customHeight="1">
      <x:c r="A370" s="6" t="str">
        <x:v>15081</x:v>
      </x:c>
      <x:c r="B370" s="2" t="str">
        <x:v>Altmarkkreis Salzwedel</x:v>
      </x:c>
      <x:c r="C370" s="2" t="n">
        <x:v>234</x:v>
      </x:c>
      <x:c r="D370" s="2" t="str">
        <x:v>Salzwedel</x:v>
      </x:c>
      <x:c r="E370" s="8" t="n">
        <x:v>2131.858024691358</x:v>
      </x:c>
      <x:c r="F370" s="7" t="n">
        <x:v>19704</x:v>
      </x:c>
      <x:c r="G370" s="8" t="n">
        <x:f>E370*F370</x:f>
        <x:v>42006130.518518515</x:v>
      </x:c>
      <x:c r="H370" s="10" t="n">
        <x:f>F370/SUMIF($C$2:$C$403,C370,$F$2:$F$403)</x:f>
        <x:v>1</x:v>
      </x:c>
      <x:c r="I370" s="2" t="str">
        <x:v>https://statistik.arbeitsagentur.de/Statistikdaten/Detail/201512/iiia6/beschaeftigung-entgelt-entgelt/entgelt-d-0-201512-xlsm.xlsm?__blob=publicationFile&amp;v=2</x:v>
      </x:c>
      <x:c r="J370" s="2" t="str">
        <x:v>https://statistik.arbeitsagentur.de/Statistikdaten/Detail/201512/iiia6/beschaeftigung-sozbe-svb-kreise-merkmale/svb-kreise-merkmale-d-0-201512-xlsx.xlsx?__blob=publicationFile&amp;v=1</x:v>
      </x:c>
      <x:c r="K370" s="2" t="str">
        <x:v>https://www.bbsr.bund.de/BBSR/DE/forschung/raumbeobachtung/Raumabgrenzungen/deutschland/regionen/arbeitsmarktregionen/arbeitsmarktregionen-2017.csv?__blob=publicationFile&amp;v=2</x:v>
      </x:c>
    </x:row>
    <x:row r="371" ht="24" customHeight="1">
      <x:c r="A371" s="6" t="str">
        <x:v>15082</x:v>
      </x:c>
      <x:c r="B371" s="2" t="str">
        <x:v>Anhalt-Bitterfeld</x:v>
      </x:c>
      <x:c r="C371" s="2" t="n">
        <x:v>235</x:v>
      </x:c>
      <x:c r="D371" s="2" t="str">
        <x:v>Anhalt-Bitterfeld</x:v>
      </x:c>
      <x:c r="E371" s="8" t="n">
        <x:v>2173.390733056708</x:v>
      </x:c>
      <x:c r="F371" s="7" t="n">
        <x:v>42147</x:v>
      </x:c>
      <x:c r="G371" s="8" t="n">
        <x:f>E371*F371</x:f>
        <x:v>91601899.22614108</x:v>
      </x:c>
      <x:c r="H371" s="10" t="n">
        <x:f>F371/SUMIF($C$2:$C$403,C371,$F$2:$F$403)</x:f>
        <x:v>1</x:v>
      </x:c>
      <x:c r="I371" s="2" t="str">
        <x:v>https://statistik.arbeitsagentur.de/Statistikdaten/Detail/201512/iiia6/beschaeftigung-entgelt-entgelt/entgelt-d-0-201512-xlsm.xlsm?__blob=publicationFile&amp;v=2</x:v>
      </x:c>
      <x:c r="J371" s="2" t="str">
        <x:v>https://statistik.arbeitsagentur.de/Statistikdaten/Detail/201512/iiia6/beschaeftigung-sozbe-svb-kreise-merkmale/svb-kreise-merkmale-d-0-201512-xlsx.xlsx?__blob=publicationFile&amp;v=1</x:v>
      </x:c>
      <x:c r="K371" s="2" t="str">
        <x:v>https://www.bbsr.bund.de/BBSR/DE/forschung/raumbeobachtung/Raumabgrenzungen/deutschland/regionen/arbeitsmarktregionen/arbeitsmarktregionen-2017.csv?__blob=publicationFile&amp;v=2</x:v>
      </x:c>
    </x:row>
    <x:row r="372" ht="24" customHeight="1">
      <x:c r="A372" s="6" t="str">
        <x:v>15083</x:v>
      </x:c>
      <x:c r="B372" s="2" t="str">
        <x:v>Börde</x:v>
      </x:c>
      <x:c r="C372" s="2" t="n">
        <x:v>233</x:v>
      </x:c>
      <x:c r="D372" s="2" t="str">
        <x:v>Magdeburg</x:v>
      </x:c>
      <x:c r="E372" s="8" t="n">
        <x:v>2361.463687150838</x:v>
      </x:c>
      <x:c r="F372" s="7" t="n">
        <x:v>43133</x:v>
      </x:c>
      <x:c r="G372" s="8" t="n">
        <x:f>E372*F372</x:f>
        <x:v>101857013.21787709</x:v>
      </x:c>
      <x:c r="H372" s="10" t="n">
        <x:f>F372/SUMIF($C$2:$C$403,C372,$F$2:$F$403)</x:f>
        <x:v>0.3147957582525051</x:v>
      </x:c>
      <x:c r="I372" s="2" t="str">
        <x:v>https://statistik.arbeitsagentur.de/Statistikdaten/Detail/201512/iiia6/beschaeftigung-entgelt-entgelt/entgelt-d-0-201512-xlsm.xlsm?__blob=publicationFile&amp;v=2</x:v>
      </x:c>
      <x:c r="J372" s="2" t="str">
        <x:v>https://statistik.arbeitsagentur.de/Statistikdaten/Detail/201512/iiia6/beschaeftigung-sozbe-svb-kreise-merkmale/svb-kreise-merkmale-d-0-201512-xlsx.xlsx?__blob=publicationFile&amp;v=1</x:v>
      </x:c>
      <x:c r="K372" s="2" t="str">
        <x:v>https://www.bbsr.bund.de/BBSR/DE/forschung/raumbeobachtung/Raumabgrenzungen/deutschland/regionen/arbeitsmarktregionen/arbeitsmarktregionen-2017.csv?__blob=publicationFile&amp;v=2</x:v>
      </x:c>
    </x:row>
    <x:row r="373" ht="24" customHeight="1">
      <x:c r="A373" s="6" t="str">
        <x:v>15084</x:v>
      </x:c>
      <x:c r="B373" s="2" t="str">
        <x:v>Burgenlandkreis</x:v>
      </x:c>
      <x:c r="C373" s="2" t="n">
        <x:v>236</x:v>
      </x:c>
      <x:c r="D373" s="2" t="str">
        <x:v>Burgenlandkreis</x:v>
      </x:c>
      <x:c r="E373" s="8" t="n">
        <x:v>2273.9375</x:v>
      </x:c>
      <x:c r="F373" s="7" t="n">
        <x:v>40986</x:v>
      </x:c>
      <x:c r="G373" s="8" t="n">
        <x:f>E373*F373</x:f>
        <x:v>93199602.375</x:v>
      </x:c>
      <x:c r="H373" s="10" t="n">
        <x:f>F373/SUMIF($C$2:$C$403,C373,$F$2:$F$403)</x:f>
        <x:v>1</x:v>
      </x:c>
      <x:c r="I373" s="2" t="str">
        <x:v>https://statistik.arbeitsagentur.de/Statistikdaten/Detail/201512/iiia6/beschaeftigung-entgelt-entgelt/entgelt-d-0-201512-xlsm.xlsm?__blob=publicationFile&amp;v=2</x:v>
      </x:c>
      <x:c r="J373" s="2" t="str">
        <x:v>https://statistik.arbeitsagentur.de/Statistikdaten/Detail/201512/iiia6/beschaeftigung-sozbe-svb-kreise-merkmale/svb-kreise-merkmale-d-0-201512-xlsx.xlsx?__blob=publicationFile&amp;v=1</x:v>
      </x:c>
      <x:c r="K373" s="2" t="str">
        <x:v>https://www.bbsr.bund.de/BBSR/DE/forschung/raumbeobachtung/Raumabgrenzungen/deutschland/regionen/arbeitsmarktregionen/arbeitsmarktregionen-2017.csv?__blob=publicationFile&amp;v=2</x:v>
      </x:c>
    </x:row>
    <x:row r="374" ht="24" customHeight="1">
      <x:c r="A374" s="6" t="str">
        <x:v>15085</x:v>
      </x:c>
      <x:c r="B374" s="2" t="str">
        <x:v>Harz</x:v>
      </x:c>
      <x:c r="C374" s="2" t="n">
        <x:v>237</x:v>
      </x:c>
      <x:c r="D374" s="2" t="str">
        <x:v>Harz</x:v>
      </x:c>
      <x:c r="E374" s="8" t="n">
        <x:v>2300.46875</x:v>
      </x:c>
      <x:c r="F374" s="7" t="n">
        <x:v>52622</x:v>
      </x:c>
      <x:c r="G374" s="8" t="n">
        <x:f>E374*F374</x:f>
        <x:v>121055266.5625</x:v>
      </x:c>
      <x:c r="H374" s="10" t="n">
        <x:f>F374/SUMIF($C$2:$C$403,C374,$F$2:$F$403)</x:f>
        <x:v>1</x:v>
      </x:c>
      <x:c r="I374" s="2" t="str">
        <x:v>https://statistik.arbeitsagentur.de/Statistikdaten/Detail/201512/iiia6/beschaeftigung-entgelt-entgelt/entgelt-d-0-201512-xlsm.xlsm?__blob=publicationFile&amp;v=2</x:v>
      </x:c>
      <x:c r="J374" s="2" t="str">
        <x:v>https://statistik.arbeitsagentur.de/Statistikdaten/Detail/201512/iiia6/beschaeftigung-sozbe-svb-kreise-merkmale/svb-kreise-merkmale-d-0-201512-xlsx.xlsx?__blob=publicationFile&amp;v=1</x:v>
      </x:c>
      <x:c r="K374" s="2" t="str">
        <x:v>https://www.bbsr.bund.de/BBSR/DE/forschung/raumbeobachtung/Raumabgrenzungen/deutschland/regionen/arbeitsmarktregionen/arbeitsmarktregionen-2017.csv?__blob=publicationFile&amp;v=2</x:v>
      </x:c>
    </x:row>
    <x:row r="375" ht="24" customHeight="1">
      <x:c r="A375" s="6" t="str">
        <x:v>15086</x:v>
      </x:c>
      <x:c r="B375" s="2" t="str">
        <x:v>Jerichower Land</x:v>
      </x:c>
      <x:c r="C375" s="2" t="n">
        <x:v>233</x:v>
      </x:c>
      <x:c r="D375" s="2" t="str">
        <x:v>Magdeburg</x:v>
      </x:c>
      <x:c r="E375" s="8" t="n">
        <x:v>2224.285714285714</x:v>
      </x:c>
      <x:c r="F375" s="7" t="n">
        <x:v>20153</x:v>
      </x:c>
      <x:c r="G375" s="8" t="n">
        <x:f>E375*F375</x:f>
        <x:v>44826030</x:v>
      </x:c>
      <x:c r="H375" s="10" t="n">
        <x:f>F375/SUMIF($C$2:$C$403,C375,$F$2:$F$403)</x:f>
        <x:v>0.14708179157635073</x:v>
      </x:c>
      <x:c r="I375" s="2" t="str">
        <x:v>https://statistik.arbeitsagentur.de/Statistikdaten/Detail/201512/iiia6/beschaeftigung-entgelt-entgelt/entgelt-d-0-201512-xlsm.xlsm?__blob=publicationFile&amp;v=2</x:v>
      </x:c>
      <x:c r="J375" s="2" t="str">
        <x:v>https://statistik.arbeitsagentur.de/Statistikdaten/Detail/201512/iiia6/beschaeftigung-sozbe-svb-kreise-merkmale/svb-kreise-merkmale-d-0-201512-xlsx.xlsx?__blob=publicationFile&amp;v=1</x:v>
      </x:c>
      <x:c r="K375" s="2" t="str">
        <x:v>https://www.bbsr.bund.de/BBSR/DE/forschung/raumbeobachtung/Raumabgrenzungen/deutschland/regionen/arbeitsmarktregionen/arbeitsmarktregionen-2017.csv?__blob=publicationFile&amp;v=2</x:v>
      </x:c>
    </x:row>
    <x:row r="376" ht="24" customHeight="1">
      <x:c r="A376" s="6" t="str">
        <x:v>15087</x:v>
      </x:c>
      <x:c r="B376" s="2" t="str">
        <x:v>Mansfeld-Südharz</x:v>
      </x:c>
      <x:c r="C376" s="2" t="n">
        <x:v>238</x:v>
      </x:c>
      <x:c r="D376" s="2" t="str">
        <x:v>Mansfeld-Südharz</x:v>
      </x:c>
      <x:c r="E376" s="8" t="n">
        <x:v>2166.5404624277458</x:v>
      </x:c>
      <x:c r="F376" s="7" t="n">
        <x:v>27497</x:v>
      </x:c>
      <x:c r="G376" s="8" t="n">
        <x:f>E376*F376</x:f>
        <x:v>59573363.095375724</x:v>
      </x:c>
      <x:c r="H376" s="10" t="n">
        <x:f>F376/SUMIF($C$2:$C$403,C376,$F$2:$F$403)</x:f>
        <x:v>1</x:v>
      </x:c>
      <x:c r="I376" s="2" t="str">
        <x:v>https://statistik.arbeitsagentur.de/Statistikdaten/Detail/201512/iiia6/beschaeftigung-entgelt-entgelt/entgelt-d-0-201512-xlsm.xlsm?__blob=publicationFile&amp;v=2</x:v>
      </x:c>
      <x:c r="J376" s="2" t="str">
        <x:v>https://statistik.arbeitsagentur.de/Statistikdaten/Detail/201512/iiia6/beschaeftigung-sozbe-svb-kreise-merkmale/svb-kreise-merkmale-d-0-201512-xlsx.xlsx?__blob=publicationFile&amp;v=1</x:v>
      </x:c>
      <x:c r="K376" s="2" t="str">
        <x:v>https://www.bbsr.bund.de/BBSR/DE/forschung/raumbeobachtung/Raumabgrenzungen/deutschland/regionen/arbeitsmarktregionen/arbeitsmarktregionen-2017.csv?__blob=publicationFile&amp;v=2</x:v>
      </x:c>
    </x:row>
    <x:row r="377" ht="24" customHeight="1">
      <x:c r="A377" s="6" t="str">
        <x:v>15088</x:v>
      </x:c>
      <x:c r="B377" s="2" t="str">
        <x:v>Saalekreis</x:v>
      </x:c>
      <x:c r="C377" s="2" t="n">
        <x:v>232</x:v>
      </x:c>
      <x:c r="D377" s="2" t="str">
        <x:v>Halle</x:v>
      </x:c>
      <x:c r="E377" s="8" t="n">
        <x:v>2386.4756097560976</x:v>
      </x:c>
      <x:c r="F377" s="7" t="n">
        <x:v>51679</x:v>
      </x:c>
      <x:c r="G377" s="8" t="n">
        <x:f>E377*F377</x:f>
        <x:v>123330673.03658536</x:v>
      </x:c>
      <x:c r="H377" s="10" t="n">
        <x:f>F377/SUMIF($C$2:$C$403,C377,$F$2:$F$403)</x:f>
        <x:v>0.44477627354958643</x:v>
      </x:c>
      <x:c r="I377" s="2" t="str">
        <x:v>https://statistik.arbeitsagentur.de/Statistikdaten/Detail/201512/iiia6/beschaeftigung-entgelt-entgelt/entgelt-d-0-201512-xlsm.xlsm?__blob=publicationFile&amp;v=2</x:v>
      </x:c>
      <x:c r="J377" s="2" t="str">
        <x:v>https://statistik.arbeitsagentur.de/Statistikdaten/Detail/201512/iiia6/beschaeftigung-sozbe-svb-kreise-merkmale/svb-kreise-merkmale-d-0-201512-xlsx.xlsx?__blob=publicationFile&amp;v=1</x:v>
      </x:c>
      <x:c r="K377" s="2" t="str">
        <x:v>https://www.bbsr.bund.de/BBSR/DE/forschung/raumbeobachtung/Raumabgrenzungen/deutschland/regionen/arbeitsmarktregionen/arbeitsmarktregionen-2017.csv?__blob=publicationFile&amp;v=2</x:v>
      </x:c>
    </x:row>
    <x:row r="378" ht="24" customHeight="1">
      <x:c r="A378" s="6" t="str">
        <x:v>15089</x:v>
      </x:c>
      <x:c r="B378" s="2" t="str">
        <x:v>Salzlandkreis</x:v>
      </x:c>
      <x:c r="C378" s="2" t="n">
        <x:v>239</x:v>
      </x:c>
      <x:c r="D378" s="2" t="str">
        <x:v>Salzlandkreis</x:v>
      </x:c>
      <x:c r="E378" s="8" t="n">
        <x:v>2318.510752688172</x:v>
      </x:c>
      <x:c r="F378" s="7" t="n">
        <x:v>44542</x:v>
      </x:c>
      <x:c r="G378" s="8" t="n">
        <x:f>E378*F378</x:f>
        <x:v>103271105.94623657</x:v>
      </x:c>
      <x:c r="H378" s="10" t="n">
        <x:f>F378/SUMIF($C$2:$C$403,C378,$F$2:$F$403)</x:f>
        <x:v>1</x:v>
      </x:c>
      <x:c r="I378" s="2" t="str">
        <x:v>https://statistik.arbeitsagentur.de/Statistikdaten/Detail/201512/iiia6/beschaeftigung-entgelt-entgelt/entgelt-d-0-201512-xlsm.xlsm?__blob=publicationFile&amp;v=2</x:v>
      </x:c>
      <x:c r="J378" s="2" t="str">
        <x:v>https://statistik.arbeitsagentur.de/Statistikdaten/Detail/201512/iiia6/beschaeftigung-sozbe-svb-kreise-merkmale/svb-kreise-merkmale-d-0-201512-xlsx.xlsx?__blob=publicationFile&amp;v=1</x:v>
      </x:c>
      <x:c r="K378" s="2" t="str">
        <x:v>https://www.bbsr.bund.de/BBSR/DE/forschung/raumbeobachtung/Raumabgrenzungen/deutschland/regionen/arbeitsmarktregionen/arbeitsmarktregionen-2017.csv?__blob=publicationFile&amp;v=2</x:v>
      </x:c>
    </x:row>
    <x:row r="379" ht="24" customHeight="1">
      <x:c r="A379" s="6" t="str">
        <x:v>15090</x:v>
      </x:c>
      <x:c r="B379" s="2" t="str">
        <x:v>Stendal</x:v>
      </x:c>
      <x:c r="C379" s="2" t="n">
        <x:v>240</x:v>
      </x:c>
      <x:c r="D379" s="2" t="str">
        <x:v>Stendal</x:v>
      </x:c>
      <x:c r="E379" s="8" t="n">
        <x:v>2225.3192771084337</x:v>
      </x:c>
      <x:c r="F379" s="7" t="n">
        <x:v>24711</x:v>
      </x:c>
      <x:c r="G379" s="8" t="n">
        <x:f>E379*F379</x:f>
        <x:v>54989864.65662651</x:v>
      </x:c>
      <x:c r="H379" s="10" t="n">
        <x:f>F379/SUMIF($C$2:$C$403,C379,$F$2:$F$403)</x:f>
        <x:v>1</x:v>
      </x:c>
      <x:c r="I379" s="2" t="str">
        <x:v>https://statistik.arbeitsagentur.de/Statistikdaten/Detail/201512/iiia6/beschaeftigung-entgelt-entgelt/entgelt-d-0-201512-xlsm.xlsm?__blob=publicationFile&amp;v=2</x:v>
      </x:c>
      <x:c r="J379" s="2" t="str">
        <x:v>https://statistik.arbeitsagentur.de/Statistikdaten/Detail/201512/iiia6/beschaeftigung-sozbe-svb-kreise-merkmale/svb-kreise-merkmale-d-0-201512-xlsx.xlsx?__blob=publicationFile&amp;v=1</x:v>
      </x:c>
      <x:c r="K379" s="2" t="str">
        <x:v>https://www.bbsr.bund.de/BBSR/DE/forschung/raumbeobachtung/Raumabgrenzungen/deutschland/regionen/arbeitsmarktregionen/arbeitsmarktregionen-2017.csv?__blob=publicationFile&amp;v=2</x:v>
      </x:c>
    </x:row>
    <x:row r="380" ht="24" customHeight="1">
      <x:c r="A380" s="6" t="str">
        <x:v>15091</x:v>
      </x:c>
      <x:c r="B380" s="2" t="str">
        <x:v>Wittenberg</x:v>
      </x:c>
      <x:c r="C380" s="2" t="n">
        <x:v>241</x:v>
      </x:c>
      <x:c r="D380" s="2" t="str">
        <x:v>Wittenberg</x:v>
      </x:c>
      <x:c r="E380" s="8" t="n">
        <x:v>2149.186305732484</x:v>
      </x:c>
      <x:c r="F380" s="7" t="n">
        <x:v>29261</x:v>
      </x:c>
      <x:c r="G380" s="8" t="n">
        <x:f>E380*F380</x:f>
        <x:v>62887340.49203821</x:v>
      </x:c>
      <x:c r="H380" s="10" t="n">
        <x:f>F380/SUMIF($C$2:$C$403,C380,$F$2:$F$403)</x:f>
        <x:v>1</x:v>
      </x:c>
      <x:c r="I380" s="2" t="str">
        <x:v>https://statistik.arbeitsagentur.de/Statistikdaten/Detail/201512/iiia6/beschaeftigung-entgelt-entgelt/entgelt-d-0-201512-xlsm.xlsm?__blob=publicationFile&amp;v=2</x:v>
      </x:c>
      <x:c r="J380" s="2" t="str">
        <x:v>https://statistik.arbeitsagentur.de/Statistikdaten/Detail/201512/iiia6/beschaeftigung-sozbe-svb-kreise-merkmale/svb-kreise-merkmale-d-0-201512-xlsx.xlsx?__blob=publicationFile&amp;v=1</x:v>
      </x:c>
      <x:c r="K380" s="2" t="str">
        <x:v>https://www.bbsr.bund.de/BBSR/DE/forschung/raumbeobachtung/Raumabgrenzungen/deutschland/regionen/arbeitsmarktregionen/arbeitsmarktregionen-2017.csv?__blob=publicationFile&amp;v=2</x:v>
      </x:c>
    </x:row>
    <x:row r="381" ht="24" customHeight="1">
      <x:c r="A381" s="6" t="str">
        <x:v>16051</x:v>
      </x:c>
      <x:c r="B381" s="2" t="str">
        <x:v>Erfurt, Stadt</x:v>
      </x:c>
      <x:c r="C381" s="2" t="n">
        <x:v>242</x:v>
      </x:c>
      <x:c r="D381" s="2" t="str">
        <x:v>Erfurt</x:v>
      </x:c>
      <x:c r="E381" s="8" t="n">
        <x:v>2550.7234359483614</x:v>
      </x:c>
      <x:c r="F381" s="7" t="n">
        <x:v>79123</x:v>
      </x:c>
      <x:c r="G381" s="8" t="n">
        <x:f>E381*F381</x:f>
        <x:v>201820890.42254218</x:v>
      </x:c>
      <x:c r="H381" s="10" t="n">
        <x:f>F381/SUMIF($C$2:$C$403,C381,$F$2:$F$403)</x:f>
        <x:v>0.8119593214773159</x:v>
      </x:c>
      <x:c r="I381" s="2" t="str">
        <x:v>https://statistik.arbeitsagentur.de/Statistikdaten/Detail/201512/iiia6/beschaeftigung-entgelt-entgelt/entgelt-d-0-201512-xlsm.xlsm?__blob=publicationFile&amp;v=2</x:v>
      </x:c>
      <x:c r="J381" s="2" t="str">
        <x:v>https://statistik.arbeitsagentur.de/Statistikdaten/Detail/201512/iiia6/beschaeftigung-sozbe-svb-kreise-merkmale/svb-kreise-merkmale-d-0-201512-xlsx.xlsx?__blob=publicationFile&amp;v=1</x:v>
      </x:c>
      <x:c r="K381" s="2" t="str">
        <x:v>https://www.bbsr.bund.de/BBSR/DE/forschung/raumbeobachtung/Raumabgrenzungen/deutschland/regionen/arbeitsmarktregionen/arbeitsmarktregionen-2017.csv?__blob=publicationFile&amp;v=2</x:v>
      </x:c>
    </x:row>
    <x:row r="382" ht="24" customHeight="1">
      <x:c r="A382" s="6" t="str">
        <x:v>16052</x:v>
      </x:c>
      <x:c r="B382" s="2" t="str">
        <x:v>Gera, Stadt</x:v>
      </x:c>
      <x:c r="C382" s="2" t="n">
        <x:v>243</x:v>
      </x:c>
      <x:c r="D382" s="2" t="str">
        <x:v>Gera</x:v>
      </x:c>
      <x:c r="E382" s="8" t="n">
        <x:v>2271.38772845953</x:v>
      </x:c>
      <x:c r="F382" s="7" t="n">
        <x:v>25768</x:v>
      </x:c>
      <x:c r="G382" s="8" t="n">
        <x:f>E382*F382</x:f>
        <x:v>58529118.986945175</x:v>
      </x:c>
      <x:c r="H382" s="10" t="n">
        <x:f>F382/SUMIF($C$2:$C$403,C382,$F$2:$F$403)</x:f>
        <x:v>0.5400285019699891</x:v>
      </x:c>
      <x:c r="I382" s="2" t="str">
        <x:v>https://statistik.arbeitsagentur.de/Statistikdaten/Detail/201512/iiia6/beschaeftigung-entgelt-entgelt/entgelt-d-0-201512-xlsm.xlsm?__blob=publicationFile&amp;v=2</x:v>
      </x:c>
      <x:c r="J382" s="2" t="str">
        <x:v>https://statistik.arbeitsagentur.de/Statistikdaten/Detail/201512/iiia6/beschaeftigung-sozbe-svb-kreise-merkmale/svb-kreise-merkmale-d-0-201512-xlsx.xlsx?__blob=publicationFile&amp;v=1</x:v>
      </x:c>
      <x:c r="K382" s="2" t="str">
        <x:v>https://www.bbsr.bund.de/BBSR/DE/forschung/raumbeobachtung/Raumabgrenzungen/deutschland/regionen/arbeitsmarktregionen/arbeitsmarktregionen-2017.csv?__blob=publicationFile&amp;v=2</x:v>
      </x:c>
    </x:row>
    <x:row r="383" ht="24" customHeight="1">
      <x:c r="A383" s="6" t="str">
        <x:v>16053</x:v>
      </x:c>
      <x:c r="B383" s="2" t="str">
        <x:v>Jena, Stadt</x:v>
      </x:c>
      <x:c r="C383" s="2" t="n">
        <x:v>244</x:v>
      </x:c>
      <x:c r="D383" s="2" t="str">
        <x:v>Jena</x:v>
      </x:c>
      <x:c r="E383" s="8" t="n">
        <x:v>2897.2757009345796</x:v>
      </x:c>
      <x:c r="F383" s="7" t="n">
        <x:v>39192</x:v>
      </x:c>
      <x:c r="G383" s="8" t="n">
        <x:f>E383*F383</x:f>
        <x:v>113550029.27102804</x:v>
      </x:c>
      <x:c r="H383" s="10" t="n">
        <x:f>F383/SUMIF($C$2:$C$403,C383,$F$2:$F$403)</x:f>
        <x:v>0.6661227819702223</x:v>
      </x:c>
      <x:c r="I383" s="2" t="str">
        <x:v>https://statistik.arbeitsagentur.de/Statistikdaten/Detail/201512/iiia6/beschaeftigung-entgelt-entgelt/entgelt-d-0-201512-xlsm.xlsm?__blob=publicationFile&amp;v=2</x:v>
      </x:c>
      <x:c r="J383" s="2" t="str">
        <x:v>https://statistik.arbeitsagentur.de/Statistikdaten/Detail/201512/iiia6/beschaeftigung-sozbe-svb-kreise-merkmale/svb-kreise-merkmale-d-0-201512-xlsx.xlsx?__blob=publicationFile&amp;v=1</x:v>
      </x:c>
      <x:c r="K383" s="2" t="str">
        <x:v>https://www.bbsr.bund.de/BBSR/DE/forschung/raumbeobachtung/Raumabgrenzungen/deutschland/regionen/arbeitsmarktregionen/arbeitsmarktregionen-2017.csv?__blob=publicationFile&amp;v=2</x:v>
      </x:c>
    </x:row>
    <x:row r="384" ht="24" customHeight="1">
      <x:c r="A384" s="6" t="str">
        <x:v>16054</x:v>
      </x:c>
      <x:c r="B384" s="2" t="str">
        <x:v>Suhl, Stadt</x:v>
      </x:c>
      <x:c r="C384" s="2" t="n">
        <x:v>245</x:v>
      </x:c>
      <x:c r="D384" s="2" t="str">
        <x:v>Suhl</x:v>
      </x:c>
      <x:c r="E384" s="8" t="n">
        <x:v>2390.5</x:v>
      </x:c>
      <x:c r="F384" s="7" t="n">
        <x:v>11567</x:v>
      </x:c>
      <x:c r="G384" s="8" t="n">
        <x:f>E384*F384</x:f>
        <x:v>27650913.5</x:v>
      </x:c>
      <x:c r="H384" s="10" t="n">
        <x:f>F384/SUMIF($C$2:$C$403,C384,$F$2:$F$403)</x:f>
        <x:v>0.4350786128037313</x:v>
      </x:c>
      <x:c r="I384" s="2" t="str">
        <x:v>https://statistik.arbeitsagentur.de/Statistikdaten/Detail/201512/iiia6/beschaeftigung-entgelt-entgelt/entgelt-d-0-201512-xlsm.xlsm?__blob=publicationFile&amp;v=2</x:v>
      </x:c>
      <x:c r="J384" s="2" t="str">
        <x:v>https://statistik.arbeitsagentur.de/Statistikdaten/Detail/201512/iiia6/beschaeftigung-sozbe-svb-kreise-merkmale/svb-kreise-merkmale-d-0-201512-xlsx.xlsx?__blob=publicationFile&amp;v=1</x:v>
      </x:c>
      <x:c r="K384" s="2" t="str">
        <x:v>https://www.bbsr.bund.de/BBSR/DE/forschung/raumbeobachtung/Raumabgrenzungen/deutschland/regionen/arbeitsmarktregionen/arbeitsmarktregionen-2017.csv?__blob=publicationFile&amp;v=2</x:v>
      </x:c>
    </x:row>
    <x:row r="385" ht="24" customHeight="1">
      <x:c r="A385" s="6" t="str">
        <x:v>16055</x:v>
      </x:c>
      <x:c r="B385" s="2" t="str">
        <x:v>Weimar, Stadt</x:v>
      </x:c>
      <x:c r="C385" s="2" t="n">
        <x:v>246</x:v>
      </x:c>
      <x:c r="D385" s="2" t="str">
        <x:v>Weimar</x:v>
      </x:c>
      <x:c r="E385" s="8" t="n">
        <x:v>2721.8800904977375</x:v>
      </x:c>
      <x:c r="F385" s="7" t="n">
        <x:v>16320</x:v>
      </x:c>
      <x:c r="G385" s="8" t="n">
        <x:f>E385*F385</x:f>
        <x:v>44421083.07692307</x:v>
      </x:c>
      <x:c r="H385" s="10" t="n">
        <x:f>F385/SUMIF($C$2:$C$403,C385,$F$2:$F$403)</x:f>
        <x:v>0.4723042194825491</x:v>
      </x:c>
      <x:c r="I385" s="2" t="str">
        <x:v>https://statistik.arbeitsagentur.de/Statistikdaten/Detail/201512/iiia6/beschaeftigung-entgelt-entgelt/entgelt-d-0-201512-xlsm.xlsm?__blob=publicationFile&amp;v=2</x:v>
      </x:c>
      <x:c r="J385" s="2" t="str">
        <x:v>https://statistik.arbeitsagentur.de/Statistikdaten/Detail/201512/iiia6/beschaeftigung-sozbe-svb-kreise-merkmale/svb-kreise-merkmale-d-0-201512-xlsx.xlsx?__blob=publicationFile&amp;v=1</x:v>
      </x:c>
      <x:c r="K385" s="2" t="str">
        <x:v>https://www.bbsr.bund.de/BBSR/DE/forschung/raumbeobachtung/Raumabgrenzungen/deutschland/regionen/arbeitsmarktregionen/arbeitsmarktregionen-2017.csv?__blob=publicationFile&amp;v=2</x:v>
      </x:c>
    </x:row>
    <x:row r="386" ht="24" customHeight="1">
      <x:c r="A386" s="6" t="str">
        <x:v>16056</x:v>
      </x:c>
      <x:c r="B386" s="2" t="str">
        <x:v>Eisenach, Stadt</x:v>
      </x:c>
      <x:c r="C386" s="2" t="n">
        <x:v>247</x:v>
      </x:c>
      <x:c r="D386" s="2" t="str">
        <x:v>Eisenach</x:v>
      </x:c>
      <x:c r="E386" s="8" t="n">
        <x:v>2618.912162162162</x:v>
      </x:c>
      <x:c r="F386" s="7" t="n">
        <x:v>17906</x:v>
      </x:c>
      <x:c r="G386" s="8" t="n">
        <x:f>E386*F386</x:f>
        <x:v>46894241.175675675</x:v>
      </x:c>
      <x:c r="H386" s="10" t="n">
        <x:f>F386/SUMIF($C$2:$C$403,C386,$F$2:$F$403)</x:f>
        <x:v>0.3595076997209228</x:v>
      </x:c>
      <x:c r="I386" s="2" t="str">
        <x:v>https://statistik.arbeitsagentur.de/Statistikdaten/Detail/201512/iiia6/beschaeftigung-entgelt-entgelt/entgelt-d-0-201512-xlsm.xlsm?__blob=publicationFile&amp;v=2</x:v>
      </x:c>
      <x:c r="J386" s="2" t="str">
        <x:v>https://statistik.arbeitsagentur.de/Statistikdaten/Detail/201512/iiia6/beschaeftigung-sozbe-svb-kreise-merkmale/svb-kreise-merkmale-d-0-201512-xlsx.xlsx?__blob=publicationFile&amp;v=1</x:v>
      </x:c>
      <x:c r="K386" s="2" t="str">
        <x:v>https://www.bbsr.bund.de/BBSR/DE/forschung/raumbeobachtung/Raumabgrenzungen/deutschland/regionen/arbeitsmarktregionen/arbeitsmarktregionen-2017.csv?__blob=publicationFile&amp;v=2</x:v>
      </x:c>
    </x:row>
    <x:row r="387" ht="24" customHeight="1">
      <x:c r="A387" s="6" t="str">
        <x:v>16061</x:v>
      </x:c>
      <x:c r="B387" s="2" t="str">
        <x:v>Eichsfeld</x:v>
      </x:c>
      <x:c r="C387" s="2" t="n">
        <x:v>248</x:v>
      </x:c>
      <x:c r="D387" s="2" t="str">
        <x:v>Eichsfeld</x:v>
      </x:c>
      <x:c r="E387" s="8" t="n">
        <x:v>2203.546357615894</x:v>
      </x:c>
      <x:c r="F387" s="7" t="n">
        <x:v>25982</x:v>
      </x:c>
      <x:c r="G387" s="8" t="n">
        <x:f>E387*F387</x:f>
        <x:v>57252541.46357616</x:v>
      </x:c>
      <x:c r="H387" s="10" t="n">
        <x:f>F387/SUMIF($C$2:$C$403,C387,$F$2:$F$403)</x:f>
        <x:v>1</x:v>
      </x:c>
      <x:c r="I387" s="2" t="str">
        <x:v>https://statistik.arbeitsagentur.de/Statistikdaten/Detail/201512/iiia6/beschaeftigung-entgelt-entgelt/entgelt-d-0-201512-xlsm.xlsm?__blob=publicationFile&amp;v=2</x:v>
      </x:c>
      <x:c r="J387" s="2" t="str">
        <x:v>https://statistik.arbeitsagentur.de/Statistikdaten/Detail/201512/iiia6/beschaeftigung-sozbe-svb-kreise-merkmale/svb-kreise-merkmale-d-0-201512-xlsx.xlsx?__blob=publicationFile&amp;v=1</x:v>
      </x:c>
      <x:c r="K387" s="2" t="str">
        <x:v>https://www.bbsr.bund.de/BBSR/DE/forschung/raumbeobachtung/Raumabgrenzungen/deutschland/regionen/arbeitsmarktregionen/arbeitsmarktregionen-2017.csv?__blob=publicationFile&amp;v=2</x:v>
      </x:c>
    </x:row>
    <x:row r="388" ht="24" customHeight="1">
      <x:c r="A388" s="6" t="str">
        <x:v>16062</x:v>
      </x:c>
      <x:c r="B388" s="2" t="str">
        <x:v>Nordhausen</x:v>
      </x:c>
      <x:c r="C388" s="2" t="n">
        <x:v>249</x:v>
      </x:c>
      <x:c r="D388" s="2" t="str">
        <x:v>Nordhausen</x:v>
      </x:c>
      <x:c r="E388" s="8" t="n">
        <x:v>2331.767409470752</x:v>
      </x:c>
      <x:c r="F388" s="7" t="n">
        <x:v>21765</x:v>
      </x:c>
      <x:c r="G388" s="8" t="n">
        <x:f>E388*F388</x:f>
        <x:v>50750917.667130925</x:v>
      </x:c>
      <x:c r="H388" s="10" t="n">
        <x:f>F388/SUMIF($C$2:$C$403,C388,$F$2:$F$403)</x:f>
        <x:v>1</x:v>
      </x:c>
      <x:c r="I388" s="2" t="str">
        <x:v>https://statistik.arbeitsagentur.de/Statistikdaten/Detail/201512/iiia6/beschaeftigung-entgelt-entgelt/entgelt-d-0-201512-xlsm.xlsm?__blob=publicationFile&amp;v=2</x:v>
      </x:c>
      <x:c r="J388" s="2" t="str">
        <x:v>https://statistik.arbeitsagentur.de/Statistikdaten/Detail/201512/iiia6/beschaeftigung-sozbe-svb-kreise-merkmale/svb-kreise-merkmale-d-0-201512-xlsx.xlsx?__blob=publicationFile&amp;v=1</x:v>
      </x:c>
      <x:c r="K388" s="2" t="str">
        <x:v>https://www.bbsr.bund.de/BBSR/DE/forschung/raumbeobachtung/Raumabgrenzungen/deutschland/regionen/arbeitsmarktregionen/arbeitsmarktregionen-2017.csv?__blob=publicationFile&amp;v=2</x:v>
      </x:c>
    </x:row>
    <x:row r="389" ht="24" customHeight="1">
      <x:c r="A389" s="6" t="str">
        <x:v>16063</x:v>
      </x:c>
      <x:c r="B389" s="2" t="str">
        <x:v>Wartburgkreis</x:v>
      </x:c>
      <x:c r="C389" s="2" t="n">
        <x:v>247</x:v>
      </x:c>
      <x:c r="D389" s="2" t="str">
        <x:v>Eisenach</x:v>
      </x:c>
      <x:c r="E389" s="8" t="n">
        <x:v>2320.608695652174</x:v>
      </x:c>
      <x:c r="F389" s="7" t="n">
        <x:v>31901</x:v>
      </x:c>
      <x:c r="G389" s="8" t="n">
        <x:f>E389*F389</x:f>
        <x:v>74029738</x:v>
      </x:c>
      <x:c r="H389" s="10" t="n">
        <x:f>F389/SUMIF($C$2:$C$403,C389,$F$2:$F$403)</x:f>
        <x:v>0.6404923002790772</x:v>
      </x:c>
      <x:c r="I389" s="2" t="str">
        <x:v>https://statistik.arbeitsagentur.de/Statistikdaten/Detail/201512/iiia6/beschaeftigung-entgelt-entgelt/entgelt-d-0-201512-xlsm.xlsm?__blob=publicationFile&amp;v=2</x:v>
      </x:c>
      <x:c r="J389" s="2" t="str">
        <x:v>https://statistik.arbeitsagentur.de/Statistikdaten/Detail/201512/iiia6/beschaeftigung-sozbe-svb-kreise-merkmale/svb-kreise-merkmale-d-0-201512-xlsx.xlsx?__blob=publicationFile&amp;v=1</x:v>
      </x:c>
      <x:c r="K389" s="2" t="str">
        <x:v>https://www.bbsr.bund.de/BBSR/DE/forschung/raumbeobachtung/Raumabgrenzungen/deutschland/regionen/arbeitsmarktregionen/arbeitsmarktregionen-2017.csv?__blob=publicationFile&amp;v=2</x:v>
      </x:c>
    </x:row>
    <x:row r="390" ht="24" customHeight="1">
      <x:c r="A390" s="6" t="str">
        <x:v>16064</x:v>
      </x:c>
      <x:c r="B390" s="2" t="str">
        <x:v>Unstrut-Hainich-Kreis</x:v>
      </x:c>
      <x:c r="C390" s="2" t="n">
        <x:v>250</x:v>
      </x:c>
      <x:c r="D390" s="2" t="str">
        <x:v>Mühlhausen</x:v>
      </x:c>
      <x:c r="E390" s="8" t="n">
        <x:v>2098.8527131782944</x:v>
      </x:c>
      <x:c r="F390" s="7" t="n">
        <x:v>24481</x:v>
      </x:c>
      <x:c r="G390" s="8" t="n">
        <x:f>E390*F390</x:f>
        <x:v>51382013.271317825</x:v>
      </x:c>
      <x:c r="H390" s="10" t="n">
        <x:f>F390/SUMIF($C$2:$C$403,C390,$F$2:$F$403)</x:f>
        <x:v>1</x:v>
      </x:c>
      <x:c r="I390" s="2" t="str">
        <x:v>https://statistik.arbeitsagentur.de/Statistikdaten/Detail/201512/iiia6/beschaeftigung-entgelt-entgelt/entgelt-d-0-201512-xlsm.xlsm?__blob=publicationFile&amp;v=2</x:v>
      </x:c>
      <x:c r="J390" s="2" t="str">
        <x:v>https://statistik.arbeitsagentur.de/Statistikdaten/Detail/201512/iiia6/beschaeftigung-sozbe-svb-kreise-merkmale/svb-kreise-merkmale-d-0-201512-xlsx.xlsx?__blob=publicationFile&amp;v=1</x:v>
      </x:c>
      <x:c r="K390" s="2" t="str">
        <x:v>https://www.bbsr.bund.de/BBSR/DE/forschung/raumbeobachtung/Raumabgrenzungen/deutschland/regionen/arbeitsmarktregionen/arbeitsmarktregionen-2017.csv?__blob=publicationFile&amp;v=2</x:v>
      </x:c>
    </x:row>
    <x:row r="391" ht="24" customHeight="1">
      <x:c r="A391" s="6" t="str">
        <x:v>16065</x:v>
      </x:c>
      <x:c r="B391" s="2" t="str">
        <x:v>Kyffhäuserkreis</x:v>
      </x:c>
      <x:c r="C391" s="2" t="n">
        <x:v>251</x:v>
      </x:c>
      <x:c r="D391" s="2" t="str">
        <x:v>Sondershausen</x:v>
      </x:c>
      <x:c r="E391" s="8" t="n">
        <x:v>2256.9772727272725</x:v>
      </x:c>
      <x:c r="F391" s="7" t="n">
        <x:v>14300</x:v>
      </x:c>
      <x:c r="G391" s="8" t="n">
        <x:f>E391*F391</x:f>
        <x:v>32274774.999999996</x:v>
      </x:c>
      <x:c r="H391" s="10" t="n">
        <x:f>F391/SUMIF($C$2:$C$403,C391,$F$2:$F$403)</x:f>
        <x:v>1</x:v>
      </x:c>
      <x:c r="I391" s="2" t="str">
        <x:v>https://statistik.arbeitsagentur.de/Statistikdaten/Detail/201512/iiia6/beschaeftigung-entgelt-entgelt/entgelt-d-0-201512-xlsm.xlsm?__blob=publicationFile&amp;v=2</x:v>
      </x:c>
      <x:c r="J391" s="2" t="str">
        <x:v>https://statistik.arbeitsagentur.de/Statistikdaten/Detail/201512/iiia6/beschaeftigung-sozbe-svb-kreise-merkmale/svb-kreise-merkmale-d-0-201512-xlsx.xlsx?__blob=publicationFile&amp;v=1</x:v>
      </x:c>
      <x:c r="K391" s="2" t="str">
        <x:v>https://www.bbsr.bund.de/BBSR/DE/forschung/raumbeobachtung/Raumabgrenzungen/deutschland/regionen/arbeitsmarktregionen/arbeitsmarktregionen-2017.csv?__blob=publicationFile&amp;v=2</x:v>
      </x:c>
    </x:row>
    <x:row r="392" ht="24" customHeight="1">
      <x:c r="A392" s="6" t="str">
        <x:v>16066</x:v>
      </x:c>
      <x:c r="B392" s="2" t="str">
        <x:v>Schmalkalden-Meiningen</x:v>
      </x:c>
      <x:c r="C392" s="2" t="n">
        <x:v>252</x:v>
      </x:c>
      <x:c r="D392" s="2" t="str">
        <x:v>Meiningen</x:v>
      </x:c>
      <x:c r="E392" s="8" t="n">
        <x:v>2197.813237221494</x:v>
      </x:c>
      <x:c r="F392" s="7" t="n">
        <x:v>32182</x:v>
      </x:c>
      <x:c r="G392" s="8" t="n">
        <x:f>E392*F392</x:f>
        <x:v>70730025.60026212</x:v>
      </x:c>
      <x:c r="H392" s="10" t="n">
        <x:f>F392/SUMIF($C$2:$C$403,C392,$F$2:$F$403)</x:f>
        <x:v>1</x:v>
      </x:c>
      <x:c r="I392" s="2" t="str">
        <x:v>https://statistik.arbeitsagentur.de/Statistikdaten/Detail/201512/iiia6/beschaeftigung-entgelt-entgelt/entgelt-d-0-201512-xlsm.xlsm?__blob=publicationFile&amp;v=2</x:v>
      </x:c>
      <x:c r="J392" s="2" t="str">
        <x:v>https://statistik.arbeitsagentur.de/Statistikdaten/Detail/201512/iiia6/beschaeftigung-sozbe-svb-kreise-merkmale/svb-kreise-merkmale-d-0-201512-xlsx.xlsx?__blob=publicationFile&amp;v=1</x:v>
      </x:c>
      <x:c r="K392" s="2" t="str">
        <x:v>https://www.bbsr.bund.de/BBSR/DE/forschung/raumbeobachtung/Raumabgrenzungen/deutschland/regionen/arbeitsmarktregionen/arbeitsmarktregionen-2017.csv?__blob=publicationFile&amp;v=2</x:v>
      </x:c>
    </x:row>
    <x:row r="393" ht="24" customHeight="1">
      <x:c r="A393" s="6" t="str">
        <x:v>16067</x:v>
      </x:c>
      <x:c r="B393" s="2" t="str">
        <x:v>Gotha</x:v>
      </x:c>
      <x:c r="C393" s="2" t="n">
        <x:v>253</x:v>
      </x:c>
      <x:c r="D393" s="2" t="str">
        <x:v>Gotha</x:v>
      </x:c>
      <x:c r="E393" s="8" t="n">
        <x:v>2294.00699844479</x:v>
      </x:c>
      <x:c r="F393" s="7" t="n">
        <x:v>37300</x:v>
      </x:c>
      <x:c r="G393" s="8" t="n">
        <x:f>E393*F393</x:f>
        <x:v>85566461.04199067</x:v>
      </x:c>
      <x:c r="H393" s="10" t="n">
        <x:f>F393/SUMIF($C$2:$C$403,C393,$F$2:$F$403)</x:f>
        <x:v>1</x:v>
      </x:c>
      <x:c r="I393" s="2" t="str">
        <x:v>https://statistik.arbeitsagentur.de/Statistikdaten/Detail/201512/iiia6/beschaeftigung-entgelt-entgelt/entgelt-d-0-201512-xlsm.xlsm?__blob=publicationFile&amp;v=2</x:v>
      </x:c>
      <x:c r="J393" s="2" t="str">
        <x:v>https://statistik.arbeitsagentur.de/Statistikdaten/Detail/201512/iiia6/beschaeftigung-sozbe-svb-kreise-merkmale/svb-kreise-merkmale-d-0-201512-xlsx.xlsx?__blob=publicationFile&amp;v=1</x:v>
      </x:c>
      <x:c r="K393" s="2" t="str">
        <x:v>https://www.bbsr.bund.de/BBSR/DE/forschung/raumbeobachtung/Raumabgrenzungen/deutschland/regionen/arbeitsmarktregionen/arbeitsmarktregionen-2017.csv?__blob=publicationFile&amp;v=2</x:v>
      </x:c>
    </x:row>
    <x:row r="394" ht="24" customHeight="1">
      <x:c r="A394" s="6" t="str">
        <x:v>16068</x:v>
      </x:c>
      <x:c r="B394" s="2" t="str">
        <x:v>Sömmerda</x:v>
      </x:c>
      <x:c r="C394" s="2" t="n">
        <x:v>242</x:v>
      </x:c>
      <x:c r="D394" s="2" t="str">
        <x:v>Erfurt</x:v>
      </x:c>
      <x:c r="E394" s="8" t="n">
        <x:v>2181.1640625</x:v>
      </x:c>
      <x:c r="F394" s="7" t="n">
        <x:v>18324</x:v>
      </x:c>
      <x:c r="G394" s="8" t="n">
        <x:f>E394*F394</x:f>
        <x:v>39967650.28125</x:v>
      </x:c>
      <x:c r="H394" s="10" t="n">
        <x:f>F394/SUMIF($C$2:$C$403,C394,$F$2:$F$403)</x:f>
        <x:v>0.18804067852268413</x:v>
      </x:c>
      <x:c r="I394" s="2" t="str">
        <x:v>https://statistik.arbeitsagentur.de/Statistikdaten/Detail/201512/iiia6/beschaeftigung-entgelt-entgelt/entgelt-d-0-201512-xlsm.xlsm?__blob=publicationFile&amp;v=2</x:v>
      </x:c>
      <x:c r="J394" s="2" t="str">
        <x:v>https://statistik.arbeitsagentur.de/Statistikdaten/Detail/201512/iiia6/beschaeftigung-sozbe-svb-kreise-merkmale/svb-kreise-merkmale-d-0-201512-xlsx.xlsx?__blob=publicationFile&amp;v=1</x:v>
      </x:c>
      <x:c r="K394" s="2" t="str">
        <x:v>https://www.bbsr.bund.de/BBSR/DE/forschung/raumbeobachtung/Raumabgrenzungen/deutschland/regionen/arbeitsmarktregionen/arbeitsmarktregionen-2017.csv?__blob=publicationFile&amp;v=2</x:v>
      </x:c>
    </x:row>
    <x:row r="395" ht="24" customHeight="1">
      <x:c r="A395" s="6" t="str">
        <x:v>16069</x:v>
      </x:c>
      <x:c r="B395" s="2" t="str">
        <x:v>Hildburghausen</x:v>
      </x:c>
      <x:c r="C395" s="2" t="n">
        <x:v>245</x:v>
      </x:c>
      <x:c r="D395" s="2" t="str">
        <x:v>Suhl</x:v>
      </x:c>
      <x:c r="E395" s="8" t="n">
        <x:v>2116.7689804772235</x:v>
      </x:c>
      <x:c r="F395" s="7" t="n">
        <x:v>15019</x:v>
      </x:c>
      <x:c r="G395" s="8" t="n">
        <x:f>E395*F395</x:f>
        <x:v>31791753.31778742</x:v>
      </x:c>
      <x:c r="H395" s="10" t="n">
        <x:f>F395/SUMIF($C$2:$C$403,C395,$F$2:$F$403)</x:f>
        <x:v>0.5649213871962687</x:v>
      </x:c>
      <x:c r="I395" s="2" t="str">
        <x:v>https://statistik.arbeitsagentur.de/Statistikdaten/Detail/201512/iiia6/beschaeftigung-entgelt-entgelt/entgelt-d-0-201512-xlsm.xlsm?__blob=publicationFile&amp;v=2</x:v>
      </x:c>
      <x:c r="J395" s="2" t="str">
        <x:v>https://statistik.arbeitsagentur.de/Statistikdaten/Detail/201512/iiia6/beschaeftigung-sozbe-svb-kreise-merkmale/svb-kreise-merkmale-d-0-201512-xlsx.xlsx?__blob=publicationFile&amp;v=1</x:v>
      </x:c>
      <x:c r="K395" s="2" t="str">
        <x:v>https://www.bbsr.bund.de/BBSR/DE/forschung/raumbeobachtung/Raumabgrenzungen/deutschland/regionen/arbeitsmarktregionen/arbeitsmarktregionen-2017.csv?__blob=publicationFile&amp;v=2</x:v>
      </x:c>
    </x:row>
    <x:row r="396" ht="24" customHeight="1">
      <x:c r="A396" s="6" t="str">
        <x:v>16070</x:v>
      </x:c>
      <x:c r="B396" s="2" t="str">
        <x:v>Ilm-Kreis</x:v>
      </x:c>
      <x:c r="C396" s="2" t="n">
        <x:v>254</x:v>
      </x:c>
      <x:c r="D396" s="2" t="str">
        <x:v>Arnstadt</x:v>
      </x:c>
      <x:c r="E396" s="8" t="n">
        <x:v>2370.362385321101</x:v>
      </x:c>
      <x:c r="F396" s="7" t="n">
        <x:v>29005</x:v>
      </x:c>
      <x:c r="G396" s="8" t="n">
        <x:f>E396*F396</x:f>
        <x:v>68752360.98623854</x:v>
      </x:c>
      <x:c r="H396" s="10" t="n">
        <x:f>F396/SUMIF($C$2:$C$403,C396,$F$2:$F$403)</x:f>
        <x:v>1</x:v>
      </x:c>
      <x:c r="I396" s="2" t="str">
        <x:v>https://statistik.arbeitsagentur.de/Statistikdaten/Detail/201512/iiia6/beschaeftigung-entgelt-entgelt/entgelt-d-0-201512-xlsm.xlsm?__blob=publicationFile&amp;v=2</x:v>
      </x:c>
      <x:c r="J396" s="2" t="str">
        <x:v>https://statistik.arbeitsagentur.de/Statistikdaten/Detail/201512/iiia6/beschaeftigung-sozbe-svb-kreise-merkmale/svb-kreise-merkmale-d-0-201512-xlsx.xlsx?__blob=publicationFile&amp;v=1</x:v>
      </x:c>
      <x:c r="K396" s="2" t="str">
        <x:v>https://www.bbsr.bund.de/BBSR/DE/forschung/raumbeobachtung/Raumabgrenzungen/deutschland/regionen/arbeitsmarktregionen/arbeitsmarktregionen-2017.csv?__blob=publicationFile&amp;v=2</x:v>
      </x:c>
    </x:row>
    <x:row r="397" ht="24" customHeight="1">
      <x:c r="A397" s="6" t="str">
        <x:v>16071</x:v>
      </x:c>
      <x:c r="B397" s="2" t="str">
        <x:v>Weimarer Land</x:v>
      </x:c>
      <x:c r="C397" s="2" t="n">
        <x:v>246</x:v>
      </x:c>
      <x:c r="D397" s="2" t="str">
        <x:v>Weimar</x:v>
      </x:c>
      <x:c r="E397" s="8" t="n">
        <x:v>2220.4481865284974</x:v>
      </x:c>
      <x:c r="F397" s="7" t="n">
        <x:v>18234</x:v>
      </x:c>
      <x:c r="G397" s="8" t="n">
        <x:f>E397*F397</x:f>
        <x:v>40487652.23316062</x:v>
      </x:c>
      <x:c r="H397" s="10" t="n">
        <x:f>F397/SUMIF($C$2:$C$403,C397,$F$2:$F$403)</x:f>
        <x:v>0.5276957805174509</x:v>
      </x:c>
      <x:c r="I397" s="2" t="str">
        <x:v>https://statistik.arbeitsagentur.de/Statistikdaten/Detail/201512/iiia6/beschaeftigung-entgelt-entgelt/entgelt-d-0-201512-xlsm.xlsm?__blob=publicationFile&amp;v=2</x:v>
      </x:c>
      <x:c r="J397" s="2" t="str">
        <x:v>https://statistik.arbeitsagentur.de/Statistikdaten/Detail/201512/iiia6/beschaeftigung-sozbe-svb-kreise-merkmale/svb-kreise-merkmale-d-0-201512-xlsx.xlsx?__blob=publicationFile&amp;v=1</x:v>
      </x:c>
      <x:c r="K397" s="2" t="str">
        <x:v>https://www.bbsr.bund.de/BBSR/DE/forschung/raumbeobachtung/Raumabgrenzungen/deutschland/regionen/arbeitsmarktregionen/arbeitsmarktregionen-2017.csv?__blob=publicationFile&amp;v=2</x:v>
      </x:c>
    </x:row>
    <x:row r="398" ht="24" customHeight="1">
      <x:c r="A398" s="6" t="str">
        <x:v>16072</x:v>
      </x:c>
      <x:c r="B398" s="2" t="str">
        <x:v>Sonneberg</x:v>
      </x:c>
      <x:c r="C398" s="2" t="n">
        <x:v>255</x:v>
      </x:c>
      <x:c r="D398" s="2" t="str">
        <x:v>Sonneberg</x:v>
      </x:c>
      <x:c r="E398" s="8" t="n">
        <x:v>2205.0691906005222</x:v>
      </x:c>
      <x:c r="F398" s="7" t="n">
        <x:v>16850</x:v>
      </x:c>
      <x:c r="G398" s="8" t="n">
        <x:f>E398*F398</x:f>
        <x:v>37155415.8616188</x:v>
      </x:c>
      <x:c r="H398" s="10" t="n">
        <x:f>F398/SUMIF($C$2:$C$403,C398,$F$2:$F$403)</x:f>
        <x:v>1</x:v>
      </x:c>
      <x:c r="I398" s="2" t="str">
        <x:v>https://statistik.arbeitsagentur.de/Statistikdaten/Detail/201512/iiia6/beschaeftigung-entgelt-entgelt/entgelt-d-0-201512-xlsm.xlsm?__blob=publicationFile&amp;v=2</x:v>
      </x:c>
      <x:c r="J398" s="2" t="str">
        <x:v>https://statistik.arbeitsagentur.de/Statistikdaten/Detail/201512/iiia6/beschaeftigung-sozbe-svb-kreise-merkmale/svb-kreise-merkmale-d-0-201512-xlsx.xlsx?__blob=publicationFile&amp;v=1</x:v>
      </x:c>
      <x:c r="K398" s="2" t="str">
        <x:v>https://www.bbsr.bund.de/BBSR/DE/forschung/raumbeobachtung/Raumabgrenzungen/deutschland/regionen/arbeitsmarktregionen/arbeitsmarktregionen-2017.csv?__blob=publicationFile&amp;v=2</x:v>
      </x:c>
    </x:row>
    <x:row r="399" ht="24" customHeight="1">
      <x:c r="A399" s="6" t="str">
        <x:v>16073</x:v>
      </x:c>
      <x:c r="B399" s="2" t="str">
        <x:v>Saalfeld-Rudolstadt</x:v>
      </x:c>
      <x:c r="C399" s="2" t="n">
        <x:v>256</x:v>
      </x:c>
      <x:c r="D399" s="2" t="str">
        <x:v>Saalfeld</x:v>
      </x:c>
      <x:c r="E399" s="8" t="n">
        <x:v>2310.4046610169494</x:v>
      </x:c>
      <x:c r="F399" s="7" t="n">
        <x:v>26728</x:v>
      </x:c>
      <x:c r="G399" s="8" t="n">
        <x:f>E399*F399</x:f>
        <x:v>61752495.77966102</x:v>
      </x:c>
      <x:c r="H399" s="10" t="n">
        <x:f>F399/SUMIF($C$2:$C$403,C399,$F$2:$F$403)</x:f>
        <x:v>1</x:v>
      </x:c>
      <x:c r="I399" s="2" t="str">
        <x:v>https://statistik.arbeitsagentur.de/Statistikdaten/Detail/201512/iiia6/beschaeftigung-entgelt-entgelt/entgelt-d-0-201512-xlsm.xlsm?__blob=publicationFile&amp;v=2</x:v>
      </x:c>
      <x:c r="J399" s="2" t="str">
        <x:v>https://statistik.arbeitsagentur.de/Statistikdaten/Detail/201512/iiia6/beschaeftigung-sozbe-svb-kreise-merkmale/svb-kreise-merkmale-d-0-201512-xlsx.xlsx?__blob=publicationFile&amp;v=1</x:v>
      </x:c>
      <x:c r="K399" s="2" t="str">
        <x:v>https://www.bbsr.bund.de/BBSR/DE/forschung/raumbeobachtung/Raumabgrenzungen/deutschland/regionen/arbeitsmarktregionen/arbeitsmarktregionen-2017.csv?__blob=publicationFile&amp;v=2</x:v>
      </x:c>
    </x:row>
    <x:row r="400" ht="24" customHeight="1">
      <x:c r="A400" s="6" t="str">
        <x:v>16074</x:v>
      </x:c>
      <x:c r="B400" s="2" t="str">
        <x:v>Saale-Holzland-Kreis</x:v>
      </x:c>
      <x:c r="C400" s="2" t="n">
        <x:v>244</x:v>
      </x:c>
      <x:c r="D400" s="2" t="str">
        <x:v>Jena</x:v>
      </x:c>
      <x:c r="E400" s="8" t="n">
        <x:v>2158.8333333333335</x:v>
      </x:c>
      <x:c r="F400" s="7" t="n">
        <x:v>19644</x:v>
      </x:c>
      <x:c r="G400" s="8" t="n">
        <x:f>E400*F400</x:f>
        <x:v>42408122</x:v>
      </x:c>
      <x:c r="H400" s="10" t="n">
        <x:f>F400/SUMIF($C$2:$C$403,C400,$F$2:$F$403)</x:f>
        <x:v>0.3338772180297777</x:v>
      </x:c>
      <x:c r="I400" s="2" t="str">
        <x:v>https://statistik.arbeitsagentur.de/Statistikdaten/Detail/201512/iiia6/beschaeftigung-entgelt-entgelt/entgelt-d-0-201512-xlsm.xlsm?__blob=publicationFile&amp;v=2</x:v>
      </x:c>
      <x:c r="J400" s="2" t="str">
        <x:v>https://statistik.arbeitsagentur.de/Statistikdaten/Detail/201512/iiia6/beschaeftigung-sozbe-svb-kreise-merkmale/svb-kreise-merkmale-d-0-201512-xlsx.xlsx?__blob=publicationFile&amp;v=1</x:v>
      </x:c>
      <x:c r="K400" s="2" t="str">
        <x:v>https://www.bbsr.bund.de/BBSR/DE/forschung/raumbeobachtung/Raumabgrenzungen/deutschland/regionen/arbeitsmarktregionen/arbeitsmarktregionen-2017.csv?__blob=publicationFile&amp;v=2</x:v>
      </x:c>
    </x:row>
    <x:row r="401" ht="24" customHeight="1">
      <x:c r="A401" s="6" t="str">
        <x:v>16075</x:v>
      </x:c>
      <x:c r="B401" s="2" t="str">
        <x:v>Saale-Orla-Kreis</x:v>
      </x:c>
      <x:c r="C401" s="2" t="n">
        <x:v>257</x:v>
      </x:c>
      <x:c r="D401" s="2" t="str">
        <x:v>Pößneck</x:v>
      </x:c>
      <x:c r="E401" s="8" t="n">
        <x:v>2097.088693957115</x:v>
      </x:c>
      <x:c r="F401" s="7" t="n">
        <x:v>22794</x:v>
      </x:c>
      <x:c r="G401" s="8" t="n">
        <x:f>E401*F401</x:f>
        <x:v>47801039.690058485</x:v>
      </x:c>
      <x:c r="H401" s="10" t="n">
        <x:f>F401/SUMIF($C$2:$C$403,C401,$F$2:$F$403)</x:f>
        <x:v>1</x:v>
      </x:c>
      <x:c r="I401" s="2" t="str">
        <x:v>https://statistik.arbeitsagentur.de/Statistikdaten/Detail/201512/iiia6/beschaeftigung-entgelt-entgelt/entgelt-d-0-201512-xlsm.xlsm?__blob=publicationFile&amp;v=2</x:v>
      </x:c>
      <x:c r="J401" s="2" t="str">
        <x:v>https://statistik.arbeitsagentur.de/Statistikdaten/Detail/201512/iiia6/beschaeftigung-sozbe-svb-kreise-merkmale/svb-kreise-merkmale-d-0-201512-xlsx.xlsx?__blob=publicationFile&amp;v=1</x:v>
      </x:c>
      <x:c r="K401" s="2" t="str">
        <x:v>https://www.bbsr.bund.de/BBSR/DE/forschung/raumbeobachtung/Raumabgrenzungen/deutschland/regionen/arbeitsmarktregionen/arbeitsmarktregionen-2017.csv?__blob=publicationFile&amp;v=2</x:v>
      </x:c>
    </x:row>
    <x:row r="402" ht="24" customHeight="1">
      <x:c r="A402" s="6" t="str">
        <x:v>16076</x:v>
      </x:c>
      <x:c r="B402" s="2" t="str">
        <x:v>Greiz</x:v>
      </x:c>
      <x:c r="C402" s="2" t="n">
        <x:v>243</x:v>
      </x:c>
      <x:c r="D402" s="2" t="str">
        <x:v>Gera</x:v>
      </x:c>
      <x:c r="E402" s="8" t="n">
        <x:v>2084.437823834197</x:v>
      </x:c>
      <x:c r="F402" s="7" t="n">
        <x:v>21948</x:v>
      </x:c>
      <x:c r="G402" s="8" t="n">
        <x:f>E402*F402</x:f>
        <x:v>45749241.35751295</x:v>
      </x:c>
      <x:c r="H402" s="10" t="n">
        <x:f>F402/SUMIF($C$2:$C$403,C402,$F$2:$F$403)</x:f>
        <x:v>0.4599714980300109</x:v>
      </x:c>
      <x:c r="I402" s="2" t="str">
        <x:v>https://statistik.arbeitsagentur.de/Statistikdaten/Detail/201512/iiia6/beschaeftigung-entgelt-entgelt/entgelt-d-0-201512-xlsm.xlsm?__blob=publicationFile&amp;v=2</x:v>
      </x:c>
      <x:c r="J402" s="2" t="str">
        <x:v>https://statistik.arbeitsagentur.de/Statistikdaten/Detail/201512/iiia6/beschaeftigung-sozbe-svb-kreise-merkmale/svb-kreise-merkmale-d-0-201512-xlsx.xlsx?__blob=publicationFile&amp;v=1</x:v>
      </x:c>
      <x:c r="K402" s="2" t="str">
        <x:v>https://www.bbsr.bund.de/BBSR/DE/forschung/raumbeobachtung/Raumabgrenzungen/deutschland/regionen/arbeitsmarktregionen/arbeitsmarktregionen-2017.csv?__blob=publicationFile&amp;v=2</x:v>
      </x:c>
    </x:row>
    <x:row r="403" ht="24" customHeight="1">
      <x:c r="A403" s="6" t="str">
        <x:v>16077</x:v>
      </x:c>
      <x:c r="B403" s="2" t="str">
        <x:v>Altenburger Land</x:v>
      </x:c>
      <x:c r="C403" s="2" t="n">
        <x:v>258</x:v>
      </x:c>
      <x:c r="D403" s="2" t="str">
        <x:v>Altenburg</x:v>
      </x:c>
      <x:c r="E403" s="8" t="n">
        <x:v>2068.5503731343283</x:v>
      </x:c>
      <x:c r="F403" s="7" t="n">
        <x:v>19348</x:v>
      </x:c>
      <x:c r="G403" s="8" t="n">
        <x:f>E403*F403</x:f>
        <x:v>40022312.61940298</x:v>
      </x:c>
      <x:c r="H403" s="10" t="n">
        <x:f>F403/SUMIF($C$2:$C$403,C403,$F$2:$F$403)</x:f>
        <x:v>1</x:v>
      </x:c>
      <x:c r="I403" s="2" t="str">
        <x:v>https://statistik.arbeitsagentur.de/Statistikdaten/Detail/201512/iiia6/beschaeftigung-entgelt-entgelt/entgelt-d-0-201512-xlsm.xlsm?__blob=publicationFile&amp;v=2</x:v>
      </x:c>
      <x:c r="J403" s="2" t="str">
        <x:v>https://statistik.arbeitsagentur.de/Statistikdaten/Detail/201512/iiia6/beschaeftigung-sozbe-svb-kreise-merkmale/svb-kreise-merkmale-d-0-201512-xlsx.xlsx?__blob=publicationFile&amp;v=1</x:v>
      </x:c>
      <x:c r="K403" s="2" t="str">
        <x:v>https://www.bbsr.bund.de/BBSR/DE/forschung/raumbeobachtung/Raumabgrenzungen/deutschland/regionen/arbeitsmarktregionen/arbeitsmarktregionen-2017.csv?__blob=publicationFile&amp;v=2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7" hidden="0" customWidth="1"/>
    <x:col min="2" max="2" width="105" hidden="0" customWidth="1"/>
  </x:cols>
  <x:sheetData>
    <x:row r="1" ht="50" customHeight="1">
      <x:c r="A1" s="5" t="str">
        <x:v>Thema</x:v>
      </x:c>
      <x:c r="B1" s="5" t="str">
        <x:v>Dokumentation</x:v>
      </x:c>
    </x:row>
    <x:row r="2" ht="72" customHeight="1">
      <x:c r="A2" s="11" t="str">
        <x:v>Ergebnis</x:v>
      </x:c>
      <x:c r="B2" s="11" t="str">
        <x:v>Beschäftigungsgewichteter Mittelwert der Kreis-Mediane. Kein tatsächlicher AMR-Median, kein Stundenlohn, kein geschätzter Wage Gap.</x:v>
      </x:c>
    </x:row>
    <x:row r="3" ht="72" customHeight="1">
      <x:c r="A3" s="11" t="str">
        <x:v>Berechnung</x:v>
      </x:c>
      <x:c r="B3" s="11" t="str">
        <x:v>Summe(Kreis-Median × Vollzeitbeschäftigte) / Summe(Vollzeitbeschäftigte), jeweils innerhalb der AMR. Gleiche Formel wie 2014.</x:v>
      </x:c>
    </x:row>
    <x:row r="4" ht="72" customHeight="1">
      <x:c r="A4" s="11" t="str">
        <x:v>Stichtag</x:v>
      </x:c>
      <x:c r="B4" s="11" t="str">
        <x:v>31.12.2015; Lohn und Beschäftigung jeweils am Arbeitsort. Gewichte stammen aus 2015, nicht 2014.</x:v>
      </x:c>
    </x:row>
    <x:row r="5" ht="72" customHeight="1">
      <x:c r="A5" s="11" t="str">
        <x:v>Bezugsgruppen</x:v>
      </x:c>
      <x:c r="B5" s="11" t="str">
        <x:v>Lohn: SV-Vollzeitbeschäftigte der Kerngruppe. Gewichte: alle SV-Vollzeitbeschäftigten. Damit sind die Gewichte weiterhin eine Näherung.</x:v>
      </x:c>
    </x:row>
    <x:row r="6" ht="72" customHeight="1">
      <x:c r="A6" s="11" t="str">
        <x:v>Zuordnung</x:v>
      </x:c>
      <x:c r="B6" s="11" t="str">
        <x:v>402 Kreise vollständig über fünfstellige Kreiskennziffern mit BBSR-Arbeitsmarktregionen 2017 verbunden; 257 AMR. Die alten Kreise Göttingen (03152) und Osterode (03156) werden getrennt gewichtet und beide AMR 12 zugeordnet.</x:v>
      </x:c>
    </x:row>
    <x:row r="7" ht="72" customHeight="1">
      <x:c r="A7" s="11" t="str">
        <x:v>Bonin-Verknüpfung</x:v>
      </x:c>
      <x:c r="B7" s="11" t="str">
        <x:v>Numerischen Schlüssel amr verwenden. BBSR-Name Göttingen/Osterode entspricht AMR 12, bei Bonin Göttingen. Passende IDs allein beweisen keine vollständige Gleichheit der Raumabgrenzungen.</x:v>
      </x:c>
    </x:row>
    <x:row r="8" ht="72" customHeight="1">
      <x:c r="A8" s="11" t="str">
        <x:v>Abdeckung</x:v>
      </x:c>
      <x:c r="B8" s="11" t="str">
        <x:v>Alle 402 Kreiswerte und Beschäftigtenzahlen vollständig. Summe Kreisgewichte: 22770215; Deutschlandzeile BA: 22771539. Differenz 1324 nicht auf Kreise verteilt; Ursache hier nicht geklärt.</x:v>
      </x:c>
    </x:row>
    <x:row r="9" ht="72" customHeight="1">
      <x:c r="A9" s="11" t="str">
        <x:v>Interpretation</x:v>
      </x:c>
      <x:c r="B9" s="11" t="str">
        <x:v>Höheres Medianentgelt bedeutet höheres regionales Lohnniveau. Der Proxy wurde weder invertiert noch auf einen Wage Gap kalibriert.</x:v>
      </x:c>
    </x:row>
    <x:row r="10" ht="72" customHeight="1">
      <x:c r="A10" s="11" t="str">
        <x:v>Identifikation</x:v>
      </x:c>
      <x:c r="B10" s="11" t="str">
        <x:v>Der Stichtag liegt vor der Ankündigung der Erhöhung 2017. Das reduziert das Risiko von Antizipation, beseitigt Endogenität aber nicht. Die Einführung 2015 kann die Löhne bereits beeinflusst haben. Übertragbarkeit des Zusammenhangs von 2014 bleibt eine Annahme.</x:v>
      </x:c>
    </x:row>
    <x:row r="11" ht="72" customHeight="1">
      <x:c r="A11" s="11" t="str">
        <x:v>Lohnquelle: Tabelle 16.2, Spalte C</x:v>
      </x:c>
      <x:c r="B11" s="11" t="str">
        <x:v>https://statistik.arbeitsagentur.de/Statistikdaten/Detail/201512/iiia6/beschaeftigung-entgelt-entgelt/entgelt-d-0-201512-xlsm.xlsm?__blob=publicationFile&amp;v=2</x:v>
      </x:c>
    </x:row>
    <x:row r="12" ht="72" customHeight="1">
      <x:c r="A12" s="11" t="str">
        <x:v>Gewichte: Blatt 31. Dezember 2015 (AO), Spalte H</x:v>
      </x:c>
      <x:c r="B12" s="11" t="str">
        <x:v>https://statistik.arbeitsagentur.de/Statistikdaten/Detail/201512/iiia6/beschaeftigung-sozbe-svb-kreise-merkmale/svb-kreise-merkmale-d-0-201512-xlsx.xlsx?__blob=publicationFile&amp;v=1</x:v>
      </x:c>
    </x:row>
    <x:row r="13" ht="72" customHeight="1">
      <x:c r="A13" s="11" t="str">
        <x:v>Raumzuordnung</x:v>
      </x:c>
      <x:c r="B13" s="11" t="str">
        <x:v>https://www.bbsr.bund.de/BBSR/DE/forschung/raumbeobachtung/Raumabgrenzungen/deutschland/regionen/arbeitsmarktregionen/arbeitsmarktregionen-2017.csv?__blob=publicationFile&amp;v=2</x:v>
      </x:c>
    </x:row>
    <x:row r="14" ht="72" customHeight="1">
      <x:c r="A14" s="11" t="str">
        <x:v>Prüfungen</x:v>
      </x:c>
      <x:c r="B14" s="11" t="str">
        <x:v>257 Ergebnisse unabhängig nachgerechnet; alle Kreis-IDs eindeutig und zugeordnet; Gewichte je AMR summieren sich auf 1. Keine Eingabewerte gerundet.</x:v>
      </x:c>
    </x:row>
    <x:row r="15" ht="72" customHeight="1">
      <x:c r="A15" s="11" t="str">
        <x:v>CSV für R</x:v>
      </x:c>
      <x:c r="B15" s="11" t="str">
        <x:v>UTF-8, Komma als Feldtrenner, Dezimalpunkt. AMR_2015_Proxy.csv enthält eine Zeile pro AMR. BA_Kreise_2015_mit_Gewichten.csv enthält die Kreiswerte und Gewichte.</x:v>
      </x:c>
    </x:row>
  </x:sheetData>
  <x:pageMargins left="0.7" right="0.7" top="0.75" bottom="0.75" header="0.3" footer="0.3"/>
</x:worksheet>
</file>